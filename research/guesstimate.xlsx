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riteria" sheetId="2" state="visible" r:id="rId2"/>
    <sheet name="HeroStore" sheetId="3" state="visible" r:id="rId3"/>
    <sheet name="Benchmarks" sheetId="4" state="visible" r:id="rId4"/>
    <sheet name="P&amp;L" sheetId="5" state="visible" r:id="rId5"/>
    <sheet name="Shocks" sheetId="6" state="visible" r:id="rId6"/>
    <sheet name="Edges" sheetId="7" state="visible" r:id="rId7"/>
    <sheet name="Sources" sheetId="8" state="visible" r:id="rId8"/>
    <sheet name="Checks" sheetId="9" state="visible" r:id="rId9"/>
    <sheet name="ChangeLog" sheetId="10" state="visible" r:id="rId10"/>
  </sheets>
  <definedNames>
    <definedName name="v_drv_dwell_time">HeroStore!$D$2</definedName>
    <definedName name="v_drv_balk_rate">HeroStore!$D$3</definedName>
    <definedName name="v_drv_open_hours">HeroStore!$D$4</definedName>
    <definedName name="v_drv_rent">HeroStore!$D$5</definedName>
    <definedName name="v_prd_meat_price">HeroStore!$D$11</definedName>
    <definedName name="v_prd_portion_grams">HeroStore!$D$12</definedName>
    <definedName name="v_prd_portions_per_cover">HeroStore!$D$13</definedName>
    <definedName name="v_prd_alcohol_price">HeroStore!$D$14</definedName>
    <definedName name="v_prd_alcohol_per_cover">HeroStore!$D$15</definedName>
    <definedName name="v_prd_side_spend_per_cover">HeroStore!$D$16</definedName>
    <definedName name="v_prd_menu_count">HeroStore!$D$17</definedName>
    <definedName name="v_svc_banchan_count">HeroStore!$D$19</definedName>
    <definedName name="v_cst_banchan_cost_per_cover">HeroStore!$D$20</definedName>
    <definedName name="v_mkt_celebrity_visits">HeroStore!$D$28</definedName>
    <definedName name="v_mkt_price_elasticity">HeroStore!$D$31</definedName>
    <definedName name="v_mkt_party_size">HeroStore!$D$32</definedName>
    <definedName name="v_mkt_patience">HeroStore!$D$33</definedName>
    <definedName name="v_seg_twenties_party_factor">HeroStore!$D$34</definedName>
    <definedName name="v_seg_twenties_dwell_factor">HeroStore!$D$35</definedName>
    <definedName name="v_seg_twenties_alcohol_factor">HeroStore!$D$36</definedName>
    <definedName name="v_seg_twenties_patience_factor">HeroStore!$D$37</definedName>
    <definedName name="v_seg_twenties_early_mult">HeroStore!$D$38</definedName>
    <definedName name="v_seg_twenties_late_mult">HeroStore!$D$39</definedName>
    <definedName name="v_seg_office_party_factor">HeroStore!$D$40</definedName>
    <definedName name="v_seg_office_dwell_factor">HeroStore!$D$41</definedName>
    <definedName name="v_seg_office_alcohol_factor">HeroStore!$D$42</definedName>
    <definedName name="v_seg_office_patience_factor">HeroStore!$D$43</definedName>
    <definedName name="v_seg_office_early_mult">HeroStore!$D$44</definedName>
    <definedName name="v_seg_office_late_mult">HeroStore!$D$45</definedName>
    <definedName name="v_seg_family_party_factor">HeroStore!$D$46</definedName>
    <definedName name="v_seg_family_dwell_factor">HeroStore!$D$47</definedName>
    <definedName name="v_seg_family_alcohol_factor">HeroStore!$D$48</definedName>
    <definedName name="v_seg_family_patience_factor">HeroStore!$D$49</definedName>
    <definedName name="v_seg_family_early_mult">HeroStore!$D$50</definedName>
    <definedName name="v_seg_family_late_mult">HeroStore!$D$51</definedName>
    <definedName name="v_reg_age_mix">HeroStore!$D$52</definedName>
    <definedName name="v_reg_evening_share">HeroStore!$D$53</definedName>
    <definedName name="v_reg_competitors">HeroStore!$D$57</definedName>
    <definedName name="v_cst_meat_cost_per_portion">HeroStore!$D$58</definedName>
    <definedName name="v_cst_alcohol_cost_per_bottle">HeroStore!$D$59</definedName>
    <definedName name="v_cst_side_cost_ratio">HeroStore!$D$60</definedName>
    <definedName name="v_cst_employee_wage">HeroStore!$D$61</definedName>
    <definedName name="v_cst_owner_imputed_wage">HeroStore!$D$62</definedName>
    <definedName name="v_cst_holiday_pay_factor">HeroStore!$D$63</definedName>
    <definedName name="v_cst_utilities">HeroStore!$D$64</definedName>
    <definedName name="v_cst_other_opex">HeroStore!$D$65</definedName>
    <definedName name="v_cst_card_share">HeroStore!$D$66</definedName>
    <definedName name="v_cst_card_fee_rate">HeroStore!$D$67</definedName>
    <definedName name="v_sto_area_pyeong">HeroStore!$D$68</definedName>
    <definedName name="v_sto_tables">HeroStore!$D$69</definedName>
    <definedName name="v_sto_seats_per_table">HeroStore!$D$70</definedName>
    <definedName name="v_sto_terrace">HeroStore!$D$71</definedName>
    <definedName name="v_sto_terrace_availability">HeroStore!$D$72</definedName>
    <definedName name="v_wx_rain_nights_share">HeroStore!$D$73</definedName>
    <definedName name="v_wx_rain_arrival_effect">HeroStore!$D$74</definedName>
    <definedName name="v_sto_occupancy">HeroStore!$D$75</definedName>
    <definedName name="v_sto_table_turns">HeroStore!$D$76</definedName>
    <definedName name="v_sto_open_days">HeroStore!$D$77</definedName>
    <definedName name="v_sto_parttimers">HeroStore!$D$78</definedName>
    <definedName name="v_sto_parttime_wage">HeroStore!$D$79</definedName>
    <definedName name="v_sto_parttime_shift_hours">HeroStore!$D$80</definedName>
    <definedName name="v_sto_employees">HeroStore!$D$81</definedName>
    <definedName name="b_bm01">Benchmarks!$D$2</definedName>
    <definedName name="b_bm02">Benchmarks!$D$3</definedName>
    <definedName name="b_bm03">Benchmarks!$D$4</definedName>
    <definedName name="b_bm04">Benchmarks!$D$5</definedName>
    <definedName name="b_bm04_low">Benchmarks!$C$5</definedName>
    <definedName name="b_bm04_high">Benchmarks!$E$5</definedName>
    <definedName name="b_bm05">Benchmarks!$D$6</definedName>
    <definedName name="b_bm06">Benchmarks!$D$7</definedName>
    <definedName name="b_bm07">Benchmarks!$D$8</definedName>
    <definedName name="b_bm07_low">Benchmarks!$C$8</definedName>
    <definedName name="b_bm07_high">Benchmarks!$E$8</definedName>
    <definedName name="b_bm08">Benchmarks!$D$9</definedName>
    <definedName name="b_bm09">Benchmarks!$D$10</definedName>
    <definedName name="b_bm10">Benchmarks!$D$11</definedName>
    <definedName name="b_bm11">Benchmarks!$D$12</definedName>
    <definedName name="b_bm12">Benchmarks!$D$13</definedName>
    <definedName name="b_bm13">Benchmarks!$D$14</definedName>
    <definedName name="b_bm14">Benchmarks!$D$15</definedName>
    <definedName name="b_bm15">Benchmarks!$D$16</definedName>
    <definedName name="b_bm16">Benchmarks!$D$17</definedName>
    <definedName name="b_bm17">Benchmarks!$D$18</definedName>
    <definedName name="b_bm18">Benchmarks!$D$19</definedName>
    <definedName name="b_bm19">Benchmarks!$D$20</definedName>
    <definedName name="b_bm20">Benchmarks!$D$21</definedName>
    <definedName name="b_bm21">Benchmarks!$D$22</definedName>
    <definedName name="b_bm22">Benchmarks!$D$23</definedName>
    <definedName name="b_bm23">Benchmarks!$D$24</definedName>
    <definedName name="b_bm24">Benchmarks!$D$25</definedName>
    <definedName name="b_bm24_low">Benchmarks!$C$25</definedName>
    <definedName name="b_bm24_high">Benchmarks!$E$25</definedName>
    <definedName name="b_bm25">Benchmarks!$D$26</definedName>
    <definedName name="b_bm25_low">Benchmarks!$C$26</definedName>
    <definedName name="b_bm25_high">Benchmarks!$E$26</definedName>
    <definedName name="b_bm26">Benchmarks!$D$27</definedName>
    <definedName name="b_bm27">Benchmarks!$D$28</definedName>
    <definedName name="b_bm27_low">Benchmarks!$C$28</definedName>
    <definedName name="b_bm27_high">Benchmarks!$E$28</definedName>
    <definedName name="b_bm28">Benchmarks!$D$29</definedName>
    <definedName name="b_bm28_low">Benchmarks!$C$29</definedName>
    <definedName name="b_bm28_high">Benchmarks!$E$29</definedName>
    <definedName name="b_bm29">Benchmarks!$D$30</definedName>
    <definedName name="b_bm30">Benchmarks!$D$31</definedName>
    <definedName name="b_bm31">Benchmarks!$D$32</definedName>
    <definedName name="b_bm32">Benchmarks!$D$33</definedName>
    <definedName name="b_bm33">Benchmarks!$D$34</definedName>
    <definedName name="b_bm34">Benchmarks!$D$35</definedName>
    <definedName name="b_bm35">Benchmarks!$D$36</definedName>
    <definedName name="b_bm36">Benchmarks!$D$37</definedName>
    <definedName name="b_bm37">Benchmarks!$D$38</definedName>
    <definedName name="b_bm38">Benchmarks!$D$39</definedName>
    <definedName name="b_bm39">Benchmarks!$D$40</definedName>
    <definedName name="b_bm40">Benchmarks!$D$41</definedName>
    <definedName name="b_bm41">Benchmarks!$D$42</definedName>
    <definedName name="b_bm42">Benchmarks!$D$43</definedName>
    <definedName name="b_bm43">Benchmarks!$D$44</definedName>
    <definedName name="b_bm44">Benchmarks!$D$45</definedName>
    <definedName name="b_bm45">Benchmarks!$D$46</definedName>
    <definedName name="b_bm46">Benchmarks!$D$47</definedName>
    <definedName name="b_bm47">Benchmarks!$D$48</definedName>
    <definedName name="b_bm48">Benchmarks!$D$49</definedName>
    <definedName name="b_bm49">Benchmarks!$D$50</definedName>
    <definedName name="b_bm49_low">Benchmarks!$C$50</definedName>
    <definedName name="b_bm49_high">Benchmarks!$E$50</definedName>
    <definedName name="pnl_revenue">'P&amp;L'!$B$19</definedName>
    <definedName name="_xlnm._FilterDatabase" localSheetId="1" hidden="1">'Criteria'!$A$1:$L$101</definedName>
    <definedName name="_xlnm.Print_Titles" localSheetId="1">'Criteria'!$1:$1</definedName>
    <definedName name="_xlnm._FilterDatabase" localSheetId="2" hidden="1">'HeroStore'!$A$1:$M$83</definedName>
    <definedName name="_xlnm.Print_Titles" localSheetId="2">'HeroStore'!$1:$1</definedName>
    <definedName name="_xlnm.Print_Titles" localSheetId="3">'Benchmarks'!$1:$1</definedName>
    <definedName name="_xlnm.Print_Titles" localSheetId="4">'P&amp;L'!$4:$4</definedName>
    <definedName name="_xlnm._FilterDatabase" localSheetId="5" hidden="1">'Shocks'!$A$1:$K$14</definedName>
    <definedName name="_xlnm.Print_Titles" localSheetId="5">'Shocks'!$1:$1</definedName>
    <definedName name="_xlnm._FilterDatabase" localSheetId="6" hidden="1">'Edges'!$A$1:$F$140</definedName>
    <definedName name="_xlnm.Print_Titles" localSheetId="6">'Edges'!$1:$1</definedName>
    <definedName name="_xlnm._FilterDatabase" localSheetId="7" hidden="1">'Sources'!$A$1:$G$77</definedName>
    <definedName name="_xlnm.Print_Titles" localSheetId="7">'Sources'!$1:$1</definedName>
    <definedName name="_xlnm.Print_Titles" localSheetId="8">'Checks'!$1:$1</definedName>
    <definedName name="_xlnm._FilterDatabase" localSheetId="9" hidden="1">'ChangeLog'!$A$1:$H$1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₩&quot;#,##0"/>
    <numFmt numFmtId="165" formatCode="#,##0.##"/>
    <numFmt numFmtId="166" formatCode="0.0%"/>
    <numFmt numFmtId="167" formatCode="0.0"/>
    <numFmt numFmtId="168" formatCode="+0.0&quot;pp&quot;;-0.0&quot;pp&quot;;0.0&quot;pp&quot;"/>
    <numFmt numFmtId="169" formatCode="#,##0.0"/>
    <numFmt numFmtId="170" formatCode="+0.0%;-0.0%;0%"/>
    <numFmt numFmtId="171" formatCode="+#,##0;-#,##0;0"/>
    <numFmt numFmtId="172" formatCode="+0.0%;-0.0%"/>
  </numFmts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b val="1"/>
      <color rgb="00C00000"/>
      <sz val="10"/>
    </font>
    <font>
      <name val="맑은 고딕"/>
      <color rgb="00000000"/>
      <sz val="10"/>
    </font>
    <font>
      <name val="맑은 고딕"/>
      <b val="1"/>
      <color rgb="00000000"/>
      <sz val="12"/>
    </font>
    <font>
      <name val="맑은 고딕"/>
      <color rgb="000000FF"/>
      <sz val="10"/>
    </font>
    <font>
      <name val="맑은 고딕"/>
      <i val="1"/>
      <color rgb="00000000"/>
      <sz val="10"/>
    </font>
    <font>
      <name val="맑은 고딕"/>
      <b val="1"/>
      <sz val="10"/>
    </font>
    <font>
      <name val="맑은 고딕"/>
      <b val="1"/>
      <color rgb="00000000"/>
      <sz val="13"/>
    </font>
    <font>
      <name val="맑은 고딕"/>
      <i val="1"/>
      <color rgb="00C00000"/>
      <sz val="10"/>
    </font>
    <font>
      <name val="맑은 고딕"/>
      <b val="1"/>
      <color rgb="00000000"/>
      <sz val="10"/>
    </font>
    <font>
      <name val="맑은 고딕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3" fillId="0" borderId="0" applyAlignment="1" pivotButton="0" quotePrefix="1" xfId="0">
      <alignment vertical="top" wrapText="1"/>
    </xf>
    <xf numFmtId="0" fontId="3" fillId="0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3" fontId="5" fillId="0" borderId="0" applyAlignment="1" pivotButton="0" quotePrefix="0" xfId="0">
      <alignment vertical="top"/>
    </xf>
    <xf numFmtId="49" fontId="5" fillId="2" borderId="0" applyAlignment="1" pivotButton="0" quotePrefix="0" xfId="0">
      <alignment vertical="top"/>
    </xf>
    <xf numFmtId="49" fontId="5" fillId="0" borderId="0" applyAlignment="1" pivotButton="0" quotePrefix="0" xfId="0">
      <alignment vertical="top"/>
    </xf>
    <xf numFmtId="3" fontId="5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7" fillId="3" borderId="0" applyAlignment="1" pivotButton="0" quotePrefix="0" xfId="0">
      <alignment horizontal="right" vertical="center"/>
    </xf>
    <xf numFmtId="0" fontId="10" fillId="4" borderId="0" pivotButton="0" quotePrefix="0" xfId="0"/>
    <xf numFmtId="0" fontId="0" fillId="4" borderId="0" pivotButton="0" quotePrefix="0" xfId="0"/>
    <xf numFmtId="0" fontId="10" fillId="0" borderId="1" pivotButton="0" quotePrefix="0" xfId="0"/>
    <xf numFmtId="167" fontId="3" fillId="0" borderId="1" pivotButton="0" quotePrefix="0" xfId="0"/>
    <xf numFmtId="0" fontId="3" fillId="0" borderId="1" applyAlignment="1" pivotButton="0" quotePrefix="0" xfId="0">
      <alignment indent="1"/>
    </xf>
    <xf numFmtId="0" fontId="0" fillId="0" borderId="1" pivotButton="0" quotePrefix="0" xfId="0"/>
    <xf numFmtId="0" fontId="11" fillId="0" borderId="1" pivotButton="0" quotePrefix="0" xfId="0"/>
    <xf numFmtId="2" fontId="3" fillId="0" borderId="1" pivotButton="0" quotePrefix="0" xfId="0"/>
    <xf numFmtId="1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4" fontId="10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168" fontId="3" fillId="0" borderId="1" pivotButton="0" quotePrefix="0" xfId="0"/>
    <xf numFmtId="169" fontId="3" fillId="0" borderId="1" pivotButton="0" quotePrefix="0" xfId="0"/>
    <xf numFmtId="170" fontId="5" fillId="2" borderId="0" applyAlignment="1" pivotButton="0" quotePrefix="0" xfId="0">
      <alignment vertical="top" wrapText="1"/>
    </xf>
    <xf numFmtId="171" fontId="5" fillId="2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172" fontId="3" fillId="0" borderId="0" applyAlignment="1" pivotButton="0" quotePrefix="0" xfId="0">
      <alignment vertical="top"/>
    </xf>
    <xf numFmtId="168" fontId="3" fillId="0" borderId="0" applyAlignment="1" pivotButton="0" quotePrefix="0" xfId="0">
      <alignment vertical="top"/>
    </xf>
    <xf numFmtId="1" fontId="3" fillId="0" borderId="0" applyAlignment="1" pivotButton="0" quotePrefix="0" xfId="0">
      <alignment vertical="top"/>
    </xf>
    <xf numFmtId="0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대학로 삼겹살집 디지털 트윈: 리서치 입력 워크북</t>
        </is>
      </c>
    </row>
    <row r="2">
      <c r="A2" s="2" t="inlineStr">
        <is>
          <t>composite 미도입 독립 삼겹살집 (대학로·혜화역 상권 3120012). 실제 상호 없음. 모든 추정값은 예시(ILLUSTRATIVE)이며 검토 전까지 사실이 아님.</t>
        </is>
      </c>
    </row>
    <row r="3">
      <c r="A3" s="3" t="inlineStr"/>
    </row>
    <row r="4">
      <c r="A4" s="4" t="inlineStr">
        <is>
          <t>작성 방법</t>
        </is>
      </c>
    </row>
    <row r="5">
      <c r="A5" s="3" t="inlineStr">
        <is>
          <t>1. HeroStore 시트에서 한 행 = 한 기준(criterion). low / base / high 를 채우고, reasoning_chain 에 한 줄 계산 근거를 적는다 (예: 43석 × 0.70 × 1.25회전 × ₩28,000 × 26일).</t>
        </is>
      </c>
    </row>
    <row r="6">
      <c r="A6" s="3" t="inlineStr">
        <is>
          <t>2. source_id 는 Sources 시트의 ID만 사용. 출처가 없으면 source_id 를 비우고 confidence 를 반드시 L 로 둔다.</t>
        </is>
      </c>
    </row>
    <row r="7">
      <c r="A7" s="3" t="inlineStr">
        <is>
          <t>3. confidence: H = 공공데이터·공식 수치 / M = 기사·보고서 근거 / L = 가정 또는 약한 근거.</t>
        </is>
      </c>
    </row>
    <row r="8">
      <c r="A8" s="3" t="inlineStr">
        <is>
          <t>4. filled_by 에 채운 사람(AI 또는 이름)을 적는다.</t>
        </is>
      </c>
    </row>
    <row r="9">
      <c r="A9" s="2" t="inlineStr">
        <is>
          <t>5. 규칙: AI가 채운 칸은 반드시 사람이 검토하고 reviewed_by에 이름을 적는다. 검토 전 값은 발표·시뮬레이션 결론에 쓰지 않는다.</t>
        </is>
      </c>
    </row>
    <row r="10">
      <c r="A10" s="3" t="inlineStr">
        <is>
          <t>6. P&amp;L, Checks 시트는 수식이다. 숫자를 직접 입력하지 말 것. HeroStore base 값을 바꾸면 자동으로 다시 계산된다.</t>
        </is>
      </c>
    </row>
    <row r="11">
      <c r="A11" s="3" t="inlineStr">
        <is>
          <t>7. Checks 시트의 PASS/FAIL 행이 모두 PASS 인지 확인한다 (앵커 ₩2,580만 ±40%, 인건비·기타 비용·영업이익률은 KREI ±5pp). 식재료·임차료·주류 비중은 INFO 행으로 차이만 보여 준다.</t>
        </is>
      </c>
    </row>
    <row r="12">
      <c r="A12" s="3" t="inlineStr">
        <is>
          <t>8. 새 기준을 추가하려면 ontology/criteria.csv 에 먼저 추가하고 build_workbook.py 를 다시 실행한다 (시트에만 추가하면 로더가 무시).</t>
        </is>
      </c>
    </row>
    <row r="13">
      <c r="A13" s="3" t="inlineStr"/>
    </row>
    <row r="14">
      <c r="A14" s="4" t="inlineStr">
        <is>
          <t>색상 범례</t>
        </is>
      </c>
    </row>
    <row r="15">
      <c r="A15" s="5" t="inlineStr">
        <is>
          <t>파란 글씨 = 입력값 (사람 또는 AI가 입력)</t>
        </is>
      </c>
    </row>
    <row r="16">
      <c r="A16" s="3" t="inlineStr">
        <is>
          <t>검은 글씨 = 수식 (직접 수정 금지)</t>
        </is>
      </c>
    </row>
    <row r="17">
      <c r="A17" s="6" t="inlineStr">
        <is>
          <t>노란 배경 = 가정·추정값 (ILLUSTRATIVE, 검토 필요)</t>
        </is>
      </c>
    </row>
    <row r="18">
      <c r="A18" s="7" t="inlineStr">
        <is>
          <t>빈칸 = 파이프라인 또는 인터뷰로 채울 값</t>
        </is>
      </c>
    </row>
    <row r="19">
      <c r="A19" s="3" t="inlineStr"/>
    </row>
    <row r="20">
      <c r="A20" s="4" t="inlineStr">
        <is>
          <t>시트 안내</t>
        </is>
      </c>
    </row>
    <row r="21">
      <c r="A21" s="3" t="inlineStr">
        <is>
          <t>Criteria: 온톨로지 전체 기준 (ontology/criteria.csv). method = public | guesstimate | interview_later | derived</t>
        </is>
      </c>
    </row>
    <row r="22">
      <c r="A22" s="3" t="inlineStr">
        <is>
          <t>HeroStore: hero 매장의 입력값 (long format). 시뮬레이션은 research/hero_base.yaml 로 읽는다.</t>
        </is>
      </c>
    </row>
    <row r="23">
      <c r="A23" s="3" t="inlineStr">
        <is>
          <t>P&amp;L: HeroStore base 값으로 계산한 월 손익 (라이브 수식).</t>
        </is>
      </c>
    </row>
    <row r="24">
      <c r="A24" s="3" t="inlineStr">
        <is>
          <t>Benchmarks: 앵커·KREI 비용 비중·가격 기준 (각 행 source_id).</t>
        </is>
      </c>
    </row>
    <row r="25">
      <c r="A25" s="3" t="inlineStr">
        <is>
          <t>Shocks: 주요 이익 드라이버 충격 목록 (기술 도입은 범위 밖).</t>
        </is>
      </c>
    </row>
    <row r="26">
      <c r="A26" s="3" t="inlineStr">
        <is>
          <t>Edges / Sources: 드라이버 간 연결과 출처 목록.</t>
        </is>
      </c>
    </row>
    <row r="27">
      <c r="A27" s="3" t="inlineStr">
        <is>
          <t>Checks: 보정·데이터 품질 검사 (수식).</t>
        </is>
      </c>
    </row>
    <row r="28">
      <c r="A28" s="3" t="inlineStr"/>
    </row>
    <row r="29">
      <c r="A29" s="7" t="inlineStr">
        <is>
          <t>주의: 임차료(R-ONE)와 고기 원가(KMTA)는 이제 실제 시세다. 반찬 원가와 일부 기타 비용은 아직 출처가 없다. 전국 KREI 비중과 다른 부분은 대학로의 특징으로 본다.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1" customWidth="1" min="4" max="4"/>
    <col width="22" customWidth="1" min="5" max="5"/>
    <col width="11" customWidth="1" min="6" max="6"/>
    <col width="9" customWidth="1" min="7" max="7"/>
    <col width="14" customWidth="1" min="8" max="8"/>
    <col width="16" customWidth="1" min="9" max="9"/>
    <col width="10" customWidth="1" min="10" max="10"/>
    <col width="7" customWidth="1" min="11" max="11"/>
    <col width="60" customWidth="1" min="12" max="12"/>
  </cols>
  <sheetData>
    <row r="1">
      <c r="A1" s="8" t="inlineStr">
        <is>
          <t>criterion_id</t>
        </is>
      </c>
      <c r="B1" s="8" t="inlineStr">
        <is>
          <t>name_ko</t>
        </is>
      </c>
      <c r="C1" s="8" t="inlineStr">
        <is>
          <t>name_en</t>
        </is>
      </c>
      <c r="D1" s="8" t="inlineStr">
        <is>
          <t>category</t>
        </is>
      </c>
      <c r="E1" s="8" t="inlineStr">
        <is>
          <t>driver_node</t>
        </is>
      </c>
      <c r="F1" s="8" t="inlineStr">
        <is>
          <t>unit</t>
        </is>
      </c>
      <c r="G1" s="8" t="inlineStr">
        <is>
          <t>data_type</t>
        </is>
      </c>
      <c r="H1" s="8" t="inlineStr">
        <is>
          <t>method</t>
        </is>
      </c>
      <c r="I1" s="8" t="inlineStr">
        <is>
          <t>source_id</t>
        </is>
      </c>
      <c r="J1" s="8" t="inlineStr">
        <is>
          <t>industry_scope</t>
        </is>
      </c>
      <c r="K1" s="8" t="inlineStr">
        <is>
          <t>in_sim</t>
        </is>
      </c>
      <c r="L1" s="8" t="inlineStr">
        <is>
          <t>notes</t>
        </is>
      </c>
    </row>
    <row r="2">
      <c r="A2" s="3" t="inlineStr">
        <is>
          <t>drv_operating_profit</t>
        </is>
      </c>
      <c r="B2" s="3" t="inlineStr">
        <is>
          <t>영업이익</t>
        </is>
      </c>
      <c r="C2" s="3" t="inlineStr">
        <is>
          <t>Operating profit</t>
        </is>
      </c>
      <c r="D2" s="3" t="inlineStr">
        <is>
          <t>성과</t>
        </is>
      </c>
      <c r="E2" s="3" t="inlineStr"/>
      <c r="F2" s="3" t="inlineStr">
        <is>
          <t>₩/월</t>
        </is>
      </c>
      <c r="G2" s="3" t="inlineStr">
        <is>
          <t>number</t>
        </is>
      </c>
      <c r="H2" s="3" t="inlineStr">
        <is>
          <t>derived</t>
        </is>
      </c>
      <c r="I2" s="3" t="inlineStr">
        <is>
          <t>S31</t>
        </is>
      </c>
      <c r="J2" s="3" t="inlineStr">
        <is>
          <t>generic</t>
        </is>
      </c>
      <c r="K2" s="3" t="inlineStr">
        <is>
          <t>Y</t>
        </is>
      </c>
      <c r="L2" s="3" t="inlineStr">
        <is>
          <t>Root. 영업이익 = 매출 − 총비용. KREI measures OP after imputed owner wage. Simulation output; not a label</t>
        </is>
      </c>
    </row>
    <row r="3">
      <c r="A3" s="3" t="inlineStr">
        <is>
          <t>drv_revenue</t>
        </is>
      </c>
      <c r="B3" s="3" t="inlineStr">
        <is>
          <t>매출</t>
        </is>
      </c>
      <c r="C3" s="3" t="inlineStr">
        <is>
          <t>Revenue</t>
        </is>
      </c>
      <c r="D3" s="3" t="inlineStr">
        <is>
          <t>성과</t>
        </is>
      </c>
      <c r="E3" s="3" t="inlineStr">
        <is>
          <t>drv_operating_profit</t>
        </is>
      </c>
      <c r="F3" s="3" t="inlineStr">
        <is>
          <t>₩/월</t>
        </is>
      </c>
      <c r="G3" s="3" t="inlineStr">
        <is>
          <t>number</t>
        </is>
      </c>
      <c r="H3" s="3" t="inlineStr">
        <is>
          <t>derived</t>
        </is>
      </c>
      <c r="I3" s="3" t="inlineStr">
        <is>
          <t>S12;S13</t>
        </is>
      </c>
      <c r="J3" s="3" t="inlineStr">
        <is>
          <t>generic</t>
        </is>
      </c>
      <c r="K3" s="3" t="inlineStr">
        <is>
          <t>Y</t>
        </is>
      </c>
      <c r="L3" s="3" t="inlineStr">
        <is>
          <t>Team doc: 매출. = 착석고객수 × 객단가 × 영업일수. Calibrated to the 대학로 한식 ₩2580만/점포·월 anchor</t>
        </is>
      </c>
    </row>
    <row r="4">
      <c r="A4" s="3" t="inlineStr">
        <is>
          <t>drv_total_cost</t>
        </is>
      </c>
      <c r="B4" s="3" t="inlineStr">
        <is>
          <t>총비용</t>
        </is>
      </c>
      <c r="C4" s="3" t="inlineStr">
        <is>
          <t>Total operating cost</t>
        </is>
      </c>
      <c r="D4" s="3" t="inlineStr">
        <is>
          <t>Cost</t>
        </is>
      </c>
      <c r="E4" s="3" t="inlineStr">
        <is>
          <t>drv_operating_profit</t>
        </is>
      </c>
      <c r="F4" s="3" t="inlineStr">
        <is>
          <t>₩/월</t>
        </is>
      </c>
      <c r="G4" s="3" t="inlineStr">
        <is>
          <t>number</t>
        </is>
      </c>
      <c r="H4" s="3" t="inlineStr">
        <is>
          <t>derived</t>
        </is>
      </c>
      <c r="I4" s="3" t="inlineStr">
        <is>
          <t>S31</t>
        </is>
      </c>
      <c r="J4" s="3" t="inlineStr">
        <is>
          <t>generic</t>
        </is>
      </c>
      <c r="K4" s="3" t="inlineStr">
        <is>
          <t>Y</t>
        </is>
      </c>
      <c r="L4" s="3" t="inlineStr">
        <is>
          <t>Team doc: Cost. Sum of the five cost lines</t>
        </is>
      </c>
    </row>
    <row r="5">
      <c r="A5" s="3" t="inlineStr">
        <is>
          <t>drv_covers</t>
        </is>
      </c>
      <c r="B5" s="3" t="inlineStr">
        <is>
          <t>착석고객수</t>
        </is>
      </c>
      <c r="C5" s="3" t="inlineStr">
        <is>
          <t>Seated covers</t>
        </is>
      </c>
      <c r="D5" s="3" t="inlineStr">
        <is>
          <t>성과</t>
        </is>
      </c>
      <c r="E5" s="3" t="inlineStr">
        <is>
          <t>drv_revenue</t>
        </is>
      </c>
      <c r="F5" s="3" t="inlineStr">
        <is>
          <t>명/일</t>
        </is>
      </c>
      <c r="G5" s="3" t="inlineStr">
        <is>
          <t>number</t>
        </is>
      </c>
      <c r="H5" s="3" t="inlineStr">
        <is>
          <t>derived</t>
        </is>
      </c>
      <c r="I5" s="3" t="inlineStr"/>
      <c r="J5" s="3" t="inlineStr">
        <is>
          <t>generic</t>
        </is>
      </c>
      <c r="K5" s="3" t="inlineStr">
        <is>
          <t>Y</t>
        </is>
      </c>
      <c r="L5" s="3" t="inlineStr">
        <is>
          <t>Static P&amp;L: 유효좌석 × 점유율 × 회전율. Simulation: output of arrivals/dwell/balking</t>
        </is>
      </c>
    </row>
    <row r="6">
      <c r="A6" s="3" t="inlineStr">
        <is>
          <t>drv_ticket</t>
        </is>
      </c>
      <c r="B6" s="3" t="inlineStr">
        <is>
          <t>객단가</t>
        </is>
      </c>
      <c r="C6" s="3" t="inlineStr">
        <is>
          <t>Spend per cover</t>
        </is>
      </c>
      <c r="D6" s="3" t="inlineStr">
        <is>
          <t>성과</t>
        </is>
      </c>
      <c r="E6" s="3" t="inlineStr">
        <is>
          <t>drv_revenue</t>
        </is>
      </c>
      <c r="F6" s="3" t="inlineStr">
        <is>
          <t>₩/인</t>
        </is>
      </c>
      <c r="G6" s="3" t="inlineStr">
        <is>
          <t>number</t>
        </is>
      </c>
      <c r="H6" s="3" t="inlineStr">
        <is>
          <t>derived</t>
        </is>
      </c>
      <c r="I6" s="3" t="inlineStr">
        <is>
          <t>S28;S25</t>
        </is>
      </c>
      <c r="J6" s="3" t="inlineStr">
        <is>
          <t>bbq</t>
        </is>
      </c>
      <c r="K6" s="3" t="inlineStr">
        <is>
          <t>Y</t>
        </is>
      </c>
      <c r="L6" s="9" t="inlineStr">
        <is>
          <t>= 인분/인 × 고기가 + 병/인 × 주류가 + 식사·사이드. BBQ template composition</t>
        </is>
      </c>
    </row>
    <row r="7">
      <c r="A7" s="3" t="inlineStr">
        <is>
          <t>drv_arrival_rate</t>
        </is>
      </c>
      <c r="B7" s="3" t="inlineStr">
        <is>
          <t>도착률</t>
        </is>
      </c>
      <c r="C7" s="3" t="inlineStr">
        <is>
          <t>Arrival rate</t>
        </is>
      </c>
      <c r="D7" s="3" t="inlineStr">
        <is>
          <t>지역</t>
        </is>
      </c>
      <c r="E7" s="3" t="inlineStr">
        <is>
          <t>drv_covers</t>
        </is>
      </c>
      <c r="F7" s="3" t="inlineStr">
        <is>
          <t>팀/일</t>
        </is>
      </c>
      <c r="G7" s="3" t="inlineStr">
        <is>
          <t>number</t>
        </is>
      </c>
      <c r="H7" s="3" t="inlineStr">
        <is>
          <t>derived</t>
        </is>
      </c>
      <c r="I7" s="3" t="inlineStr">
        <is>
          <t>S12</t>
        </is>
      </c>
      <c r="J7" s="3" t="inlineStr">
        <is>
          <t>generic</t>
        </is>
      </c>
      <c r="K7" s="3" t="inlineStr">
        <is>
          <t>Y</t>
        </is>
      </c>
      <c r="L7" s="3" t="inlineStr">
        <is>
          <t>Static: 착석고객수 ÷ (1 − 대기이탈률) ÷ 일행 수. Simulation: NHPP with hourly shape from S12 time bands</t>
        </is>
      </c>
    </row>
    <row r="8">
      <c r="A8" s="3" t="inlineStr">
        <is>
          <t>drv_seats</t>
        </is>
      </c>
      <c r="B8" s="3" t="inlineStr">
        <is>
          <t>좌석수</t>
        </is>
      </c>
      <c r="C8" s="3" t="inlineStr">
        <is>
          <t>Effective seats</t>
        </is>
      </c>
      <c r="D8" s="3" t="inlineStr">
        <is>
          <t>가게현황</t>
        </is>
      </c>
      <c r="E8" s="3" t="inlineStr">
        <is>
          <t>drv_covers</t>
        </is>
      </c>
      <c r="F8" s="3" t="inlineStr">
        <is>
          <t>석</t>
        </is>
      </c>
      <c r="G8" s="3" t="inlineStr">
        <is>
          <t>number</t>
        </is>
      </c>
      <c r="H8" s="3" t="inlineStr">
        <is>
          <t>derived</t>
        </is>
      </c>
      <c r="I8" s="3" t="inlineStr">
        <is>
          <t>S34</t>
        </is>
      </c>
      <c r="J8" s="3" t="inlineStr">
        <is>
          <t>generic</t>
        </is>
      </c>
      <c r="K8" s="3" t="inlineStr">
        <is>
          <t>Y</t>
        </is>
      </c>
      <c r="L8" s="9" t="inlineStr">
        <is>
          <t>= 테이블 × 테이블당 의자 + 야장 좌석 × 야장 가용률</t>
        </is>
      </c>
    </row>
    <row r="9">
      <c r="A9" s="3" t="inlineStr">
        <is>
          <t>drv_dwell_time</t>
        </is>
      </c>
      <c r="B9" s="3" t="inlineStr">
        <is>
          <t>체류시간</t>
        </is>
      </c>
      <c r="C9" s="3" t="inlineStr">
        <is>
          <t>Dwell time</t>
        </is>
      </c>
      <c r="D9" s="3" t="inlineStr">
        <is>
          <t>서비스</t>
        </is>
      </c>
      <c r="E9" s="3" t="inlineStr">
        <is>
          <t>drv_covers</t>
        </is>
      </c>
      <c r="F9" s="3" t="inlineStr">
        <is>
          <t>분</t>
        </is>
      </c>
      <c r="G9" s="3" t="inlineStr">
        <is>
          <t>number</t>
        </is>
      </c>
      <c r="H9" s="3" t="inlineStr">
        <is>
          <t>guesstimate</t>
        </is>
      </c>
      <c r="I9" s="3" t="inlineStr">
        <is>
          <t>S71;S72;S73</t>
        </is>
      </c>
      <c r="J9" s="3" t="inlineStr">
        <is>
          <t>bbq</t>
        </is>
      </c>
      <c r="K9" s="3" t="inlineStr">
        <is>
          <t>Y</t>
        </is>
      </c>
      <c r="L9" s="3" t="inlineStr">
        <is>
          <t>Team doc: 고객 체류시간. No Korean measurement; bounded by AYCE caps (100-120 min) and US casual dining (47 min)</t>
        </is>
      </c>
    </row>
    <row r="10">
      <c r="A10" s="3" t="inlineStr">
        <is>
          <t>drv_balk_rate</t>
        </is>
      </c>
      <c r="B10" s="3" t="inlineStr">
        <is>
          <t>대기이탈률</t>
        </is>
      </c>
      <c r="C10" s="3" t="inlineStr">
        <is>
          <t>Balking rate</t>
        </is>
      </c>
      <c r="D10" s="3" t="inlineStr">
        <is>
          <t>서비스</t>
        </is>
      </c>
      <c r="E10" s="3" t="inlineStr">
        <is>
          <t>drv_covers</t>
        </is>
      </c>
      <c r="F10" s="3" t="inlineStr">
        <is>
          <t>비율</t>
        </is>
      </c>
      <c r="G10" s="3" t="inlineStr">
        <is>
          <t>number</t>
        </is>
      </c>
      <c r="H10" s="3" t="inlineStr">
        <is>
          <t>guesstimate</t>
        </is>
      </c>
      <c r="I10" s="3" t="inlineStr"/>
      <c r="J10" s="3" t="inlineStr">
        <is>
          <t>generic</t>
        </is>
      </c>
      <c r="K10" s="3" t="inlineStr">
        <is>
          <t>Y</t>
        </is>
      </c>
      <c r="L10" s="3" t="inlineStr">
        <is>
          <t>Prior only; the simulation produces it from patience vs wait</t>
        </is>
      </c>
    </row>
    <row r="11">
      <c r="A11" s="3" t="inlineStr">
        <is>
          <t>drv_open_hours</t>
        </is>
      </c>
      <c r="B11" s="3" t="inlineStr">
        <is>
          <t>영업시간</t>
        </is>
      </c>
      <c r="C11" s="3" t="inlineStr">
        <is>
          <t>Opening hours</t>
        </is>
      </c>
      <c r="D11" s="3" t="inlineStr">
        <is>
          <t>가게현황</t>
        </is>
      </c>
      <c r="E11" s="3" t="inlineStr">
        <is>
          <t>drv_covers</t>
        </is>
      </c>
      <c r="F11" s="3" t="inlineStr">
        <is>
          <t>시간/일</t>
        </is>
      </c>
      <c r="G11" s="3" t="inlineStr">
        <is>
          <t>number</t>
        </is>
      </c>
      <c r="H11" s="3" t="inlineStr">
        <is>
          <t>guesstimate</t>
        </is>
      </c>
      <c r="I11" s="3" t="inlineStr">
        <is>
          <t>S12;S35</t>
        </is>
      </c>
      <c r="J11" s="3" t="inlineStr">
        <is>
          <t>generic</t>
        </is>
      </c>
      <c r="K11" s="3" t="inlineStr">
        <is>
          <t>Y</t>
        </is>
      </c>
      <c r="L11" s="3" t="inlineStr">
        <is>
          <t>17:00–24:00 evening store; 63% of 대학로 한식 sales fall 17–24</t>
        </is>
      </c>
    </row>
    <row r="12">
      <c r="A12" s="3" t="inlineStr">
        <is>
          <t>drv_food_cost</t>
        </is>
      </c>
      <c r="B12" s="3" t="inlineStr">
        <is>
          <t>식재료비</t>
        </is>
      </c>
      <c r="C12" s="3" t="inlineStr">
        <is>
          <t>Food &amp; beverage cost</t>
        </is>
      </c>
      <c r="D12" s="3" t="inlineStr">
        <is>
          <t>Cost</t>
        </is>
      </c>
      <c r="E12" s="3" t="inlineStr">
        <is>
          <t>drv_total_cost</t>
        </is>
      </c>
      <c r="F12" s="3" t="inlineStr">
        <is>
          <t>₩/월</t>
        </is>
      </c>
      <c r="G12" s="3" t="inlineStr">
        <is>
          <t>number</t>
        </is>
      </c>
      <c r="H12" s="3" t="inlineStr">
        <is>
          <t>derived</t>
        </is>
      </c>
      <c r="I12" s="3" t="inlineStr">
        <is>
          <t>S31</t>
        </is>
      </c>
      <c r="J12" s="3" t="inlineStr">
        <is>
          <t>generic</t>
        </is>
      </c>
      <c r="K12" s="3" t="inlineStr">
        <is>
          <t>Y</t>
        </is>
      </c>
      <c r="L12" s="3" t="inlineStr">
        <is>
          <t>Meat + alcohol + meal/side + banchan cost per cover × covers</t>
        </is>
      </c>
    </row>
    <row r="13">
      <c r="A13" s="3" t="inlineStr">
        <is>
          <t>drv_labor_cost</t>
        </is>
      </c>
      <c r="B13" s="3" t="inlineStr">
        <is>
          <t>인건비</t>
        </is>
      </c>
      <c r="C13" s="3" t="inlineStr">
        <is>
          <t>Labor cost</t>
        </is>
      </c>
      <c r="D13" s="3" t="inlineStr">
        <is>
          <t>Cost</t>
        </is>
      </c>
      <c r="E13" s="3" t="inlineStr">
        <is>
          <t>drv_total_cost</t>
        </is>
      </c>
      <c r="F13" s="3" t="inlineStr">
        <is>
          <t>₩/월</t>
        </is>
      </c>
      <c r="G13" s="3" t="inlineStr">
        <is>
          <t>number</t>
        </is>
      </c>
      <c r="H13" s="3" t="inlineStr">
        <is>
          <t>derived</t>
        </is>
      </c>
      <c r="I13" s="3" t="inlineStr">
        <is>
          <t>S31;S32;S36</t>
        </is>
      </c>
      <c r="J13" s="3" t="inlineStr">
        <is>
          <t>generic</t>
        </is>
      </c>
      <c r="K13" s="3" t="inlineStr">
        <is>
          <t>Y</t>
        </is>
      </c>
      <c r="L13" s="3" t="inlineStr">
        <is>
          <t>Team doc: 인건비. 알바 + 정직원 + 대표자 귀속 인건비 (KREI convention)</t>
        </is>
      </c>
    </row>
    <row r="14">
      <c r="A14" s="3" t="inlineStr">
        <is>
          <t>drv_rent</t>
        </is>
      </c>
      <c r="B14" s="3" t="inlineStr">
        <is>
          <t>임차료</t>
        </is>
      </c>
      <c r="C14" s="3" t="inlineStr">
        <is>
          <t>Rent</t>
        </is>
      </c>
      <c r="D14" s="3" t="inlineStr">
        <is>
          <t>Cost</t>
        </is>
      </c>
      <c r="E14" s="3" t="inlineStr">
        <is>
          <t>drv_total_cost</t>
        </is>
      </c>
      <c r="F14" s="3" t="inlineStr">
        <is>
          <t>₩/월</t>
        </is>
      </c>
      <c r="G14" s="3" t="inlineStr">
        <is>
          <t>number</t>
        </is>
      </c>
      <c r="H14" s="3" t="inlineStr">
        <is>
          <t>public</t>
        </is>
      </c>
      <c r="I14" s="3" t="inlineStr">
        <is>
          <t>S52;S53;S55</t>
        </is>
      </c>
      <c r="J14" s="3" t="inlineStr">
        <is>
          <t>generic</t>
        </is>
      </c>
      <c r="K14" s="3" t="inlineStr">
        <is>
          <t>Y</t>
        </is>
      </c>
      <c r="L14" s="3" t="inlineStr">
        <is>
          <t>R-ONE 혜화동 소규모 상가 1층 rent (2026Q2) x 25평, cash part assuming deposit = 10x monthly rent. About 3x the national level, so the KREI national rent share does not apply</t>
        </is>
      </c>
    </row>
    <row r="15">
      <c r="A15" s="3" t="inlineStr">
        <is>
          <t>drv_mgmt_cost</t>
        </is>
      </c>
      <c r="B15" s="3" t="inlineStr">
        <is>
          <t>관리비</t>
        </is>
      </c>
      <c r="C15" s="3" t="inlineStr">
        <is>
          <t>Utilities &amp; other opex</t>
        </is>
      </c>
      <c r="D15" s="3" t="inlineStr">
        <is>
          <t>Cost</t>
        </is>
      </c>
      <c r="E15" s="3" t="inlineStr">
        <is>
          <t>drv_total_cost</t>
        </is>
      </c>
      <c r="F15" s="3" t="inlineStr">
        <is>
          <t>₩/월</t>
        </is>
      </c>
      <c r="G15" s="3" t="inlineStr">
        <is>
          <t>number</t>
        </is>
      </c>
      <c r="H15" s="3" t="inlineStr">
        <is>
          <t>derived</t>
        </is>
      </c>
      <c r="I15" s="3" t="inlineStr">
        <is>
          <t>S31</t>
        </is>
      </c>
      <c r="J15" s="3" t="inlineStr">
        <is>
          <t>generic</t>
        </is>
      </c>
      <c r="K15" s="3" t="inlineStr">
        <is>
          <t>Y</t>
        </is>
      </c>
      <c r="L15" s="3" t="inlineStr">
        <is>
          <t>Team doc: 관리비. = 공과금·가스·숯 + 기타경비</t>
        </is>
      </c>
    </row>
    <row r="16">
      <c r="A16" s="3" t="inlineStr">
        <is>
          <t>drv_fees</t>
        </is>
      </c>
      <c r="B16" s="3" t="inlineStr">
        <is>
          <t>수수료</t>
        </is>
      </c>
      <c r="C16" s="3" t="inlineStr">
        <is>
          <t>Card &amp; platform fees</t>
        </is>
      </c>
      <c r="D16" s="3" t="inlineStr">
        <is>
          <t>Cost</t>
        </is>
      </c>
      <c r="E16" s="3" t="inlineStr">
        <is>
          <t>drv_total_cost</t>
        </is>
      </c>
      <c r="F16" s="3" t="inlineStr">
        <is>
          <t>₩/월</t>
        </is>
      </c>
      <c r="G16" s="3" t="inlineStr">
        <is>
          <t>number</t>
        </is>
      </c>
      <c r="H16" s="3" t="inlineStr">
        <is>
          <t>derived</t>
        </is>
      </c>
      <c r="I16" s="3" t="inlineStr"/>
      <c r="J16" s="3" t="inlineStr">
        <is>
          <t>generic</t>
        </is>
      </c>
      <c r="K16" s="3" t="inlineStr">
        <is>
          <t>Y</t>
        </is>
      </c>
      <c r="L16" s="9" t="inlineStr">
        <is>
          <t>= 매출 × 카드결제 비중 × 카드수수료율 (+ platform fees if 배달/예약앱 adopted)</t>
        </is>
      </c>
    </row>
    <row r="17">
      <c r="A17" s="3" t="inlineStr">
        <is>
          <t>prd_meat_origin</t>
        </is>
      </c>
      <c r="B17" s="3" t="inlineStr">
        <is>
          <t>고기 원산지</t>
        </is>
      </c>
      <c r="C17" s="3" t="inlineStr">
        <is>
          <t>Meat origin</t>
        </is>
      </c>
      <c r="D17" s="3" t="inlineStr">
        <is>
          <t>제품</t>
        </is>
      </c>
      <c r="E17" s="3" t="inlineStr">
        <is>
          <t>drv_ticket</t>
        </is>
      </c>
      <c r="F17" s="3" t="inlineStr">
        <is>
          <t>범주</t>
        </is>
      </c>
      <c r="G17" s="3" t="inlineStr">
        <is>
          <t>category</t>
        </is>
      </c>
      <c r="H17" s="3" t="inlineStr">
        <is>
          <t>guesstimate</t>
        </is>
      </c>
      <c r="I17" s="3" t="inlineStr"/>
      <c r="J17" s="3" t="inlineStr">
        <is>
          <t>bbq</t>
        </is>
      </c>
      <c r="K17" s="3" t="inlineStr">
        <is>
          <t>N</t>
        </is>
      </c>
      <c r="L17" s="3" t="inlineStr">
        <is>
          <t>국내산 / 수입 / 혼합. Price power and meat cost</t>
        </is>
      </c>
    </row>
    <row r="18">
      <c r="A18" s="3" t="inlineStr">
        <is>
          <t>prd_cut_style</t>
        </is>
      </c>
      <c r="B18" s="3" t="inlineStr">
        <is>
          <t>삼겹살 형태 (대패/냉삼/숙성/통삼)</t>
        </is>
      </c>
      <c r="C18" s="3" t="inlineStr">
        <is>
          <t>Pork belly cut style</t>
        </is>
      </c>
      <c r="D18" s="3" t="inlineStr">
        <is>
          <t>제품</t>
        </is>
      </c>
      <c r="E18" s="3" t="inlineStr">
        <is>
          <t>drv_ticket</t>
        </is>
      </c>
      <c r="F18" s="3" t="inlineStr">
        <is>
          <t>범주</t>
        </is>
      </c>
      <c r="G18" s="3" t="inlineStr">
        <is>
          <t>category</t>
        </is>
      </c>
      <c r="H18" s="3" t="inlineStr">
        <is>
          <t>guesstimate</t>
        </is>
      </c>
      <c r="I18" s="3" t="inlineStr"/>
      <c r="J18" s="3" t="inlineStr">
        <is>
          <t>bbq</t>
        </is>
      </c>
      <c r="K18" s="3" t="inlineStr">
        <is>
          <t>N</t>
        </is>
      </c>
      <c r="L18" s="3" t="inlineStr">
        <is>
          <t>Merges team items 대패/냉삼/숙성/통삼 and 통삼겹 (listed twice in the doc)</t>
        </is>
      </c>
    </row>
    <row r="19">
      <c r="A19" s="3" t="inlineStr">
        <is>
          <t>prd_chobeol</t>
        </is>
      </c>
      <c r="B19" s="3" t="inlineStr">
        <is>
          <t>초벌 여부</t>
        </is>
      </c>
      <c r="C19" s="3" t="inlineStr">
        <is>
          <t>Pre-grilled (초벌) vs raw</t>
        </is>
      </c>
      <c r="D19" s="3" t="inlineStr">
        <is>
          <t>제품</t>
        </is>
      </c>
      <c r="E19" s="3" t="inlineStr">
        <is>
          <t>drv_dwell_time</t>
        </is>
      </c>
      <c r="F19" s="3" t="inlineStr">
        <is>
          <t>Y/N</t>
        </is>
      </c>
      <c r="G19" s="3" t="inlineStr">
        <is>
          <t>bool</t>
        </is>
      </c>
      <c r="H19" s="3" t="inlineStr">
        <is>
          <t>guesstimate</t>
        </is>
      </c>
      <c r="I19" s="3" t="inlineStr"/>
      <c r="J19" s="3" t="inlineStr">
        <is>
          <t>bbq</t>
        </is>
      </c>
      <c r="K19" s="3" t="inlineStr">
        <is>
          <t>Y</t>
        </is>
      </c>
      <c r="L19" s="3" t="inlineStr">
        <is>
          <t>Team doc: 초벌 or 생. 초벌 shortens table grilling time; adds kitchen labor</t>
        </is>
      </c>
    </row>
    <row r="20">
      <c r="A20" s="3" t="inlineStr">
        <is>
          <t>prd_signature_side</t>
        </is>
      </c>
      <c r="B20" s="3" t="inlineStr">
        <is>
          <t>특별한 특징 (미나리·고사리 등)</t>
        </is>
      </c>
      <c r="C20" s="3" t="inlineStr">
        <is>
          <t>Signature side</t>
        </is>
      </c>
      <c r="D20" s="3" t="inlineStr">
        <is>
          <t>제품</t>
        </is>
      </c>
      <c r="E20" s="3" t="inlineStr">
        <is>
          <t>drv_arrival_rate</t>
        </is>
      </c>
      <c r="F20" s="3" t="inlineStr">
        <is>
          <t>범주</t>
        </is>
      </c>
      <c r="G20" s="3" t="inlineStr">
        <is>
          <t>category</t>
        </is>
      </c>
      <c r="H20" s="3" t="inlineStr">
        <is>
          <t>guesstimate</t>
        </is>
      </c>
      <c r="I20" s="3" t="inlineStr"/>
      <c r="J20" s="3" t="inlineStr">
        <is>
          <t>bbq</t>
        </is>
      </c>
      <c r="K20" s="3" t="inlineStr">
        <is>
          <t>N</t>
        </is>
      </c>
      <c r="L20" s="3" t="inlineStr">
        <is>
          <t>Differentiation → arrivals and upsell</t>
        </is>
      </c>
    </row>
    <row r="21">
      <c r="A21" s="3" t="inlineStr">
        <is>
          <t>prd_food_quality</t>
        </is>
      </c>
      <c r="B21" s="3" t="inlineStr">
        <is>
          <t>음식의 상태</t>
        </is>
      </c>
      <c r="C21" s="3" t="inlineStr">
        <is>
          <t>Food condition</t>
        </is>
      </c>
      <c r="D21" s="3" t="inlineStr">
        <is>
          <t>제품</t>
        </is>
      </c>
      <c r="E21" s="3" t="inlineStr">
        <is>
          <t>drv_arrival_rate</t>
        </is>
      </c>
      <c r="F21" s="3" t="inlineStr">
        <is>
          <t>점수(1-5)</t>
        </is>
      </c>
      <c r="G21" s="3" t="inlineStr">
        <is>
          <t>score</t>
        </is>
      </c>
      <c r="H21" s="3" t="inlineStr">
        <is>
          <t>interview_later</t>
        </is>
      </c>
      <c r="I21" s="3" t="inlineStr">
        <is>
          <t>S03</t>
        </is>
      </c>
      <c r="J21" s="3" t="inlineStr">
        <is>
          <t>generic</t>
        </is>
      </c>
      <c r="K21" s="3" t="inlineStr">
        <is>
          <t>N</t>
        </is>
      </c>
      <c r="L21" s="3" t="inlineStr">
        <is>
          <t>Acts through review rating</t>
        </is>
      </c>
    </row>
    <row r="22">
      <c r="A22" s="3" t="inlineStr">
        <is>
          <t>prd_meat_price</t>
        </is>
      </c>
      <c r="B22" s="3" t="inlineStr">
        <is>
          <t>고기 판매가</t>
        </is>
      </c>
      <c r="C22" s="3" t="inlineStr">
        <is>
          <t>Meat menu price</t>
        </is>
      </c>
      <c r="D22" s="3" t="inlineStr">
        <is>
          <t>Cost</t>
        </is>
      </c>
      <c r="E22" s="3" t="inlineStr">
        <is>
          <t>drv_ticket</t>
        </is>
      </c>
      <c r="F22" s="3" t="inlineStr">
        <is>
          <t>₩/인분</t>
        </is>
      </c>
      <c r="G22" s="3" t="inlineStr">
        <is>
          <t>number</t>
        </is>
      </c>
      <c r="H22" s="3" t="inlineStr">
        <is>
          <t>guesstimate</t>
        </is>
      </c>
      <c r="I22" s="3" t="inlineStr">
        <is>
          <t>S23;S24;S25</t>
        </is>
      </c>
      <c r="J22" s="3" t="inlineStr">
        <is>
          <t>bbq</t>
        </is>
      </c>
      <c r="K22" s="3" t="inlineStr">
        <is>
          <t>Y</t>
        </is>
      </c>
      <c r="L22" s="3" t="inlineStr">
        <is>
          <t>Team doc: 고기 판매가 (Cost category in the doc). 인분 = 200g (참가격 basis). Price shock target</t>
        </is>
      </c>
    </row>
    <row r="23">
      <c r="A23" s="3" t="inlineStr">
        <is>
          <t>prd_portion_grams</t>
        </is>
      </c>
      <c r="B23" s="3" t="inlineStr">
        <is>
          <t>1인분 중량</t>
        </is>
      </c>
      <c r="C23" s="3" t="inlineStr">
        <is>
          <t>Portion weight</t>
        </is>
      </c>
      <c r="D23" s="3" t="inlineStr">
        <is>
          <t>제품</t>
        </is>
      </c>
      <c r="E23" s="3" t="inlineStr">
        <is>
          <t>drv_ticket</t>
        </is>
      </c>
      <c r="F23" s="3" t="inlineStr">
        <is>
          <t>g</t>
        </is>
      </c>
      <c r="G23" s="3" t="inlineStr">
        <is>
          <t>number</t>
        </is>
      </c>
      <c r="H23" s="3" t="inlineStr">
        <is>
          <t>guesstimate</t>
        </is>
      </c>
      <c r="I23" s="3" t="inlineStr">
        <is>
          <t>S23</t>
        </is>
      </c>
      <c r="J23" s="3" t="inlineStr">
        <is>
          <t>bbq</t>
        </is>
      </c>
      <c r="K23" s="3" t="inlineStr">
        <is>
          <t>Y</t>
        </is>
      </c>
      <c r="L23" s="3" t="inlineStr">
        <is>
          <t>참가격 basis 200g</t>
        </is>
      </c>
    </row>
    <row r="24">
      <c r="A24" s="3" t="inlineStr">
        <is>
          <t>prd_portions_per_cover</t>
        </is>
      </c>
      <c r="B24" s="3" t="inlineStr">
        <is>
          <t>1인당 고기 인분</t>
        </is>
      </c>
      <c r="C24" s="3" t="inlineStr">
        <is>
          <t>Meat portions per cover</t>
        </is>
      </c>
      <c r="D24" s="3" t="inlineStr">
        <is>
          <t>제품</t>
        </is>
      </c>
      <c r="E24" s="3" t="inlineStr">
        <is>
          <t>drv_ticket</t>
        </is>
      </c>
      <c r="F24" s="3" t="inlineStr">
        <is>
          <t>인분/인</t>
        </is>
      </c>
      <c r="G24" s="3" t="inlineStr">
        <is>
          <t>number</t>
        </is>
      </c>
      <c r="H24" s="3" t="inlineStr">
        <is>
          <t>guesstimate</t>
        </is>
      </c>
      <c r="I24" s="3" t="inlineStr">
        <is>
          <t>S28;S74</t>
        </is>
      </c>
      <c r="J24" s="3" t="inlineStr">
        <is>
          <t>bbq</t>
        </is>
      </c>
      <c r="K24" s="3" t="inlineStr">
        <is>
          <t>Y</t>
        </is>
      </c>
      <c r="L24" s="3" t="inlineStr">
        <is>
          <t>Includes re-orders</t>
        </is>
      </c>
    </row>
    <row r="25">
      <c r="A25" s="3" t="inlineStr">
        <is>
          <t>prd_alcohol_price</t>
        </is>
      </c>
      <c r="B25" s="3" t="inlineStr">
        <is>
          <t>주류 판매가 (소주)</t>
        </is>
      </c>
      <c r="C25" s="3" t="inlineStr">
        <is>
          <t>Soju menu price</t>
        </is>
      </c>
      <c r="D25" s="3" t="inlineStr">
        <is>
          <t>Cost</t>
        </is>
      </c>
      <c r="E25" s="3" t="inlineStr">
        <is>
          <t>drv_ticket</t>
        </is>
      </c>
      <c r="F25" s="3" t="inlineStr">
        <is>
          <t>₩/병</t>
        </is>
      </c>
      <c r="G25" s="3" t="inlineStr">
        <is>
          <t>number</t>
        </is>
      </c>
      <c r="H25" s="3" t="inlineStr">
        <is>
          <t>guesstimate</t>
        </is>
      </c>
      <c r="I25" s="3" t="inlineStr">
        <is>
          <t>S25;S26</t>
        </is>
      </c>
      <c r="J25" s="3" t="inlineStr">
        <is>
          <t>generic</t>
        </is>
      </c>
      <c r="K25" s="3" t="inlineStr">
        <is>
          <t>Y</t>
        </is>
      </c>
      <c r="L25" s="3" t="inlineStr">
        <is>
          <t>Alcohol price shock target</t>
        </is>
      </c>
    </row>
    <row r="26">
      <c r="A26" s="3" t="inlineStr">
        <is>
          <t>prd_alcohol_per_cover</t>
        </is>
      </c>
      <c r="B26" s="3" t="inlineStr">
        <is>
          <t>1인당 주류 병수</t>
        </is>
      </c>
      <c r="C26" s="3" t="inlineStr">
        <is>
          <t>Bottles per cover</t>
        </is>
      </c>
      <c r="D26" s="3" t="inlineStr">
        <is>
          <t>제품</t>
        </is>
      </c>
      <c r="E26" s="3" t="inlineStr">
        <is>
          <t>drv_ticket</t>
        </is>
      </c>
      <c r="F26" s="3" t="inlineStr">
        <is>
          <t>병/인</t>
        </is>
      </c>
      <c r="G26" s="3" t="inlineStr">
        <is>
          <t>number</t>
        </is>
      </c>
      <c r="H26" s="3" t="inlineStr">
        <is>
          <t>guesstimate</t>
        </is>
      </c>
      <c r="I26" s="3" t="inlineStr">
        <is>
          <t>S62</t>
        </is>
      </c>
      <c r="J26" s="3" t="inlineStr">
        <is>
          <t>generic</t>
        </is>
      </c>
      <c r="K26" s="3" t="inlineStr">
        <is>
          <t>Y</t>
        </is>
      </c>
      <c r="L26" s="3" t="inlineStr">
        <is>
          <t>식약처: 0.85 bottle per drinker per occasion</t>
        </is>
      </c>
    </row>
    <row r="27">
      <c r="A27" s="3" t="inlineStr">
        <is>
          <t>prd_side_spend_per_cover</t>
        </is>
      </c>
      <c r="B27" s="3" t="inlineStr">
        <is>
          <t>1인당 식사·사이드 매출</t>
        </is>
      </c>
      <c r="C27" s="3" t="inlineStr">
        <is>
          <t>Meal/side spend per cover</t>
        </is>
      </c>
      <c r="D27" s="3" t="inlineStr">
        <is>
          <t>제품</t>
        </is>
      </c>
      <c r="E27" s="3" t="inlineStr">
        <is>
          <t>drv_ticket</t>
        </is>
      </c>
      <c r="F27" s="3" t="inlineStr">
        <is>
          <t>₩/인</t>
        </is>
      </c>
      <c r="G27" s="3" t="inlineStr">
        <is>
          <t>number</t>
        </is>
      </c>
      <c r="H27" s="3" t="inlineStr">
        <is>
          <t>guesstimate</t>
        </is>
      </c>
      <c r="I27" s="3" t="inlineStr">
        <is>
          <t>S30</t>
        </is>
      </c>
      <c r="J27" s="3" t="inlineStr">
        <is>
          <t>bbq</t>
        </is>
      </c>
      <c r="K27" s="3" t="inlineStr">
        <is>
          <t>Y</t>
        </is>
      </c>
      <c r="L27" s="3" t="inlineStr">
        <is>
          <t>냉면·된장찌개·볶음밥 attach</t>
        </is>
      </c>
    </row>
    <row r="28">
      <c r="A28" s="3" t="inlineStr">
        <is>
          <t>cst_alcohol_meat_ratio</t>
        </is>
      </c>
      <c r="B28" s="3" t="inlineStr">
        <is>
          <t>주류/고기 판매 비율</t>
        </is>
      </c>
      <c r="C28" s="3" t="inlineStr">
        <is>
          <t>Alcohol-to-meat sales ratio</t>
        </is>
      </c>
      <c r="D28" s="3" t="inlineStr">
        <is>
          <t>Cost</t>
        </is>
      </c>
      <c r="E28" s="3" t="inlineStr">
        <is>
          <t>drv_ticket</t>
        </is>
      </c>
      <c r="F28" s="3" t="inlineStr">
        <is>
          <t>비율</t>
        </is>
      </c>
      <c r="G28" s="3" t="inlineStr">
        <is>
          <t>number</t>
        </is>
      </c>
      <c r="H28" s="3" t="inlineStr">
        <is>
          <t>derived</t>
        </is>
      </c>
      <c r="I28" s="3" t="inlineStr">
        <is>
          <t>S30</t>
        </is>
      </c>
      <c r="J28" s="3" t="inlineStr">
        <is>
          <t>bbq</t>
        </is>
      </c>
      <c r="K28" s="3" t="inlineStr">
        <is>
          <t>Y</t>
        </is>
      </c>
      <c r="L28" s="3" t="inlineStr">
        <is>
          <t>Team doc item. Alcohol is the high-margin line (S27)</t>
        </is>
      </c>
    </row>
    <row r="29">
      <c r="A29" s="3" t="inlineStr">
        <is>
          <t>prd_menu_count</t>
        </is>
      </c>
      <c r="B29" s="3" t="inlineStr">
        <is>
          <t>메뉴 개수</t>
        </is>
      </c>
      <c r="C29" s="3" t="inlineStr">
        <is>
          <t>Menu item count</t>
        </is>
      </c>
      <c r="D29" s="3" t="inlineStr">
        <is>
          <t>가게현황</t>
        </is>
      </c>
      <c r="E29" s="3" t="inlineStr">
        <is>
          <t>drv_food_cost</t>
        </is>
      </c>
      <c r="F29" s="3" t="inlineStr">
        <is>
          <t>개</t>
        </is>
      </c>
      <c r="G29" s="3" t="inlineStr">
        <is>
          <t>number</t>
        </is>
      </c>
      <c r="H29" s="3" t="inlineStr">
        <is>
          <t>guesstimate</t>
        </is>
      </c>
      <c r="I29" s="3" t="inlineStr"/>
      <c r="J29" s="3" t="inlineStr">
        <is>
          <t>generic</t>
        </is>
      </c>
      <c r="K29" s="3" t="inlineStr">
        <is>
          <t>N</t>
        </is>
      </c>
      <c r="L29" s="3" t="inlineStr">
        <is>
          <t>More items → more inventory and waste</t>
        </is>
      </c>
    </row>
    <row r="30">
      <c r="A30" s="3" t="inlineStr">
        <is>
          <t>svc_staff_grilling</t>
        </is>
      </c>
      <c r="B30" s="3" t="inlineStr">
        <is>
          <t>직원이 구워주는 서비스</t>
        </is>
      </c>
      <c r="C30" s="3" t="inlineStr">
        <is>
          <t>Staff grilling service</t>
        </is>
      </c>
      <c r="D30" s="3" t="inlineStr">
        <is>
          <t>서비스</t>
        </is>
      </c>
      <c r="E30" s="3" t="inlineStr">
        <is>
          <t>drv_dwell_time</t>
        </is>
      </c>
      <c r="F30" s="3" t="inlineStr">
        <is>
          <t>Y/N</t>
        </is>
      </c>
      <c r="G30" s="3" t="inlineStr">
        <is>
          <t>bool</t>
        </is>
      </c>
      <c r="H30" s="3" t="inlineStr">
        <is>
          <t>guesstimate</t>
        </is>
      </c>
      <c r="I30" s="3" t="inlineStr"/>
      <c r="J30" s="3" t="inlineStr">
        <is>
          <t>bbq</t>
        </is>
      </c>
      <c r="K30" s="3" t="inlineStr">
        <is>
          <t>Y</t>
        </is>
      </c>
      <c r="L30" s="3" t="inlineStr">
        <is>
          <t>Shortens dwell; raises labor; may lift rating</t>
        </is>
      </c>
    </row>
    <row r="31">
      <c r="A31" s="3" t="inlineStr">
        <is>
          <t>svc_banchan_count</t>
        </is>
      </c>
      <c r="B31" s="3" t="inlineStr">
        <is>
          <t>반찬 가짓수</t>
        </is>
      </c>
      <c r="C31" s="3" t="inlineStr">
        <is>
          <t>Banchan count</t>
        </is>
      </c>
      <c r="D31" s="3" t="inlineStr">
        <is>
          <t>서비스</t>
        </is>
      </c>
      <c r="E31" s="3" t="inlineStr">
        <is>
          <t>drv_food_cost</t>
        </is>
      </c>
      <c r="F31" s="3" t="inlineStr">
        <is>
          <t>가지</t>
        </is>
      </c>
      <c r="G31" s="3" t="inlineStr">
        <is>
          <t>number</t>
        </is>
      </c>
      <c r="H31" s="3" t="inlineStr">
        <is>
          <t>guesstimate</t>
        </is>
      </c>
      <c r="I31" s="3" t="inlineStr"/>
      <c r="J31" s="3" t="inlineStr">
        <is>
          <t>generic</t>
        </is>
      </c>
      <c r="K31" s="3" t="inlineStr">
        <is>
          <t>N</t>
        </is>
      </c>
      <c r="L31" s="3" t="inlineStr">
        <is>
          <t>Team doc: 반찬. Cost enters via cst_banchan_cost_per_cover</t>
        </is>
      </c>
    </row>
    <row r="32">
      <c r="A32" s="3" t="inlineStr">
        <is>
          <t>cst_banchan_cost_per_cover</t>
        </is>
      </c>
      <c r="B32" s="3" t="inlineStr">
        <is>
          <t>반찬·쌈채소 원가</t>
        </is>
      </c>
      <c r="C32" s="3" t="inlineStr">
        <is>
          <t>Banchan &amp; greens cost per cover</t>
        </is>
      </c>
      <c r="D32" s="3" t="inlineStr">
        <is>
          <t>Cost</t>
        </is>
      </c>
      <c r="E32" s="3" t="inlineStr">
        <is>
          <t>drv_food_cost</t>
        </is>
      </c>
      <c r="F32" s="3" t="inlineStr">
        <is>
          <t>₩/인</t>
        </is>
      </c>
      <c r="G32" s="3" t="inlineStr">
        <is>
          <t>number</t>
        </is>
      </c>
      <c r="H32" s="3" t="inlineStr">
        <is>
          <t>guesstimate</t>
        </is>
      </c>
      <c r="I32" s="3" t="inlineStr"/>
      <c r="J32" s="3" t="inlineStr">
        <is>
          <t>bbq</t>
        </is>
      </c>
      <c r="K32" s="3" t="inlineStr">
        <is>
          <t>Y</t>
        </is>
      </c>
      <c r="L32" s="3" t="inlineStr">
        <is>
          <t>No source. Originally back-solved from the KREI share with the old meat cost; needs the owner interview</t>
        </is>
      </c>
    </row>
    <row r="33">
      <c r="A33" s="3" t="inlineStr">
        <is>
          <t>svc_qr_kiosk</t>
        </is>
      </c>
      <c r="B33" s="3" t="inlineStr">
        <is>
          <t>QR·키오스크 (미니)</t>
        </is>
      </c>
      <c r="C33" s="3" t="inlineStr">
        <is>
          <t>QR / kiosk ordering</t>
        </is>
      </c>
      <c r="D33" s="3" t="inlineStr">
        <is>
          <t>서비스</t>
        </is>
      </c>
      <c r="E33" s="3" t="inlineStr">
        <is>
          <t>drv_labor_cost</t>
        </is>
      </c>
      <c r="F33" s="3" t="inlineStr">
        <is>
          <t>Y/N</t>
        </is>
      </c>
      <c r="G33" s="3" t="inlineStr">
        <is>
          <t>bool</t>
        </is>
      </c>
      <c r="H33" s="3" t="inlineStr">
        <is>
          <t>guesstimate</t>
        </is>
      </c>
      <c r="I33" s="3" t="inlineStr">
        <is>
          <t>D0930</t>
        </is>
      </c>
      <c r="J33" s="3" t="inlineStr">
        <is>
          <t>generic</t>
        </is>
      </c>
      <c r="K33" s="3" t="inlineStr">
        <is>
          <t>N</t>
        </is>
      </c>
      <c r="L33" s="3" t="inlineStr">
        <is>
          <t>Hero = N by scope (미도입). Tech adoption is out of shock scope</t>
        </is>
      </c>
    </row>
    <row r="34">
      <c r="A34" s="3" t="inlineStr">
        <is>
          <t>svc_corkage</t>
        </is>
      </c>
      <c r="B34" s="3" t="inlineStr">
        <is>
          <t>콜키지</t>
        </is>
      </c>
      <c r="C34" s="3" t="inlineStr">
        <is>
          <t>Corkage</t>
        </is>
      </c>
      <c r="D34" s="3" t="inlineStr">
        <is>
          <t>서비스</t>
        </is>
      </c>
      <c r="E34" s="3" t="inlineStr">
        <is>
          <t>drv_ticket</t>
        </is>
      </c>
      <c r="F34" s="3" t="inlineStr">
        <is>
          <t>Y/N</t>
        </is>
      </c>
      <c r="G34" s="3" t="inlineStr">
        <is>
          <t>bool</t>
        </is>
      </c>
      <c r="H34" s="3" t="inlineStr">
        <is>
          <t>guesstimate</t>
        </is>
      </c>
      <c r="I34" s="3" t="inlineStr"/>
      <c r="J34" s="3" t="inlineStr">
        <is>
          <t>generic</t>
        </is>
      </c>
      <c r="K34" s="3" t="inlineStr">
        <is>
          <t>N</t>
        </is>
      </c>
      <c r="L34" s="3" t="inlineStr">
        <is>
          <t>Pulls arrivals; lowers alcohol ticket</t>
        </is>
      </c>
    </row>
    <row r="35">
      <c r="A35" s="3" t="inlineStr">
        <is>
          <t>svc_cleanliness</t>
        </is>
      </c>
      <c r="B35" s="3" t="inlineStr">
        <is>
          <t>청결관리</t>
        </is>
      </c>
      <c r="C35" s="3" t="inlineStr">
        <is>
          <t>Cleanliness</t>
        </is>
      </c>
      <c r="D35" s="3" t="inlineStr">
        <is>
          <t>서비스</t>
        </is>
      </c>
      <c r="E35" s="3" t="inlineStr">
        <is>
          <t>drv_arrival_rate</t>
        </is>
      </c>
      <c r="F35" s="3" t="inlineStr">
        <is>
          <t>점수(1-5)</t>
        </is>
      </c>
      <c r="G35" s="3" t="inlineStr">
        <is>
          <t>score</t>
        </is>
      </c>
      <c r="H35" s="3" t="inlineStr">
        <is>
          <t>interview_later</t>
        </is>
      </c>
      <c r="I35" s="3" t="inlineStr"/>
      <c r="J35" s="3" t="inlineStr">
        <is>
          <t>generic</t>
        </is>
      </c>
      <c r="K35" s="3" t="inlineStr">
        <is>
          <t>N</t>
        </is>
      </c>
      <c r="L35" s="3" t="inlineStr">
        <is>
          <t>Acts through review rating</t>
        </is>
      </c>
    </row>
    <row r="36">
      <c r="A36" s="3" t="inlineStr">
        <is>
          <t>mkt_review_count</t>
        </is>
      </c>
      <c r="B36" s="3" t="inlineStr">
        <is>
          <t>리뷰수</t>
        </is>
      </c>
      <c r="C36" s="3" t="inlineStr">
        <is>
          <t>Review count</t>
        </is>
      </c>
      <c r="D36" s="3" t="inlineStr">
        <is>
          <t>영업·마케팅</t>
        </is>
      </c>
      <c r="E36" s="3" t="inlineStr">
        <is>
          <t>drv_arrival_rate</t>
        </is>
      </c>
      <c r="F36" s="3" t="inlineStr">
        <is>
          <t>건</t>
        </is>
      </c>
      <c r="G36" s="3" t="inlineStr">
        <is>
          <t>number</t>
        </is>
      </c>
      <c r="H36" s="3" t="inlineStr">
        <is>
          <t>interview_later</t>
        </is>
      </c>
      <c r="I36" s="3" t="inlineStr">
        <is>
          <t>S03;S06</t>
        </is>
      </c>
      <c r="J36" s="3" t="inlineStr">
        <is>
          <t>generic</t>
        </is>
      </c>
      <c r="K36" s="3" t="inlineStr">
        <is>
          <t>N</t>
        </is>
      </c>
      <c r="L36" s="3" t="inlineStr">
        <is>
          <t>Hand-entered only; Naver Place / 캐치테이블 / 테이블링 must not be scraped</t>
        </is>
      </c>
    </row>
    <row r="37">
      <c r="A37" s="3" t="inlineStr">
        <is>
          <t>mkt_review_rating</t>
        </is>
      </c>
      <c r="B37" s="3" t="inlineStr">
        <is>
          <t>리뷰 평점</t>
        </is>
      </c>
      <c r="C37" s="3" t="inlineStr">
        <is>
          <t>Review rating</t>
        </is>
      </c>
      <c r="D37" s="3" t="inlineStr">
        <is>
          <t>영업·마케팅</t>
        </is>
      </c>
      <c r="E37" s="3" t="inlineStr">
        <is>
          <t>drv_arrival_rate</t>
        </is>
      </c>
      <c r="F37" s="3" t="inlineStr">
        <is>
          <t>점(1-5)</t>
        </is>
      </c>
      <c r="G37" s="3" t="inlineStr">
        <is>
          <t>number</t>
        </is>
      </c>
      <c r="H37" s="3" t="inlineStr">
        <is>
          <t>interview_later</t>
        </is>
      </c>
      <c r="I37" s="3" t="inlineStr">
        <is>
          <t>S03</t>
        </is>
      </c>
      <c r="J37" s="3" t="inlineStr">
        <is>
          <t>generic</t>
        </is>
      </c>
      <c r="K37" s="3" t="inlineStr">
        <is>
          <t>N</t>
        </is>
      </c>
      <c r="L37" s="3" t="inlineStr">
        <is>
          <t>Added from literature: +1 star = +5–9% revenue for independents (Luca)</t>
        </is>
      </c>
    </row>
    <row r="38">
      <c r="A38" s="3" t="inlineStr">
        <is>
          <t>mkt_review_event</t>
        </is>
      </c>
      <c r="B38" s="3" t="inlineStr">
        <is>
          <t>리뷰이벤트 유무</t>
        </is>
      </c>
      <c r="C38" s="3" t="inlineStr">
        <is>
          <t>Review incentive event</t>
        </is>
      </c>
      <c r="D38" s="3" t="inlineStr">
        <is>
          <t>영업·마케팅</t>
        </is>
      </c>
      <c r="E38" s="3" t="inlineStr">
        <is>
          <t>drv_arrival_rate</t>
        </is>
      </c>
      <c r="F38" s="3" t="inlineStr">
        <is>
          <t>Y/N</t>
        </is>
      </c>
      <c r="G38" s="3" t="inlineStr">
        <is>
          <t>bool</t>
        </is>
      </c>
      <c r="H38" s="3" t="inlineStr">
        <is>
          <t>interview_later</t>
        </is>
      </c>
      <c r="I38" s="3" t="inlineStr"/>
      <c r="J38" s="3" t="inlineStr">
        <is>
          <t>generic</t>
        </is>
      </c>
      <c r="K38" s="3" t="inlineStr">
        <is>
          <t>N</t>
        </is>
      </c>
      <c r="L38" s="3" t="inlineStr">
        <is>
          <t>Raises review count; small giveaway cost</t>
        </is>
      </c>
    </row>
    <row r="39">
      <c r="A39" s="3" t="inlineStr">
        <is>
          <t>mkt_sponsorship</t>
        </is>
      </c>
      <c r="B39" s="3" t="inlineStr">
        <is>
          <t>마케팅/협찬 여부</t>
        </is>
      </c>
      <c r="C39" s="3" t="inlineStr">
        <is>
          <t>Paid marketing / sponsorship</t>
        </is>
      </c>
      <c r="D39" s="3" t="inlineStr">
        <is>
          <t>영업·마케팅</t>
        </is>
      </c>
      <c r="E39" s="3" t="inlineStr">
        <is>
          <t>drv_arrival_rate</t>
        </is>
      </c>
      <c r="F39" s="3" t="inlineStr">
        <is>
          <t>Y/N</t>
        </is>
      </c>
      <c r="G39" s="3" t="inlineStr">
        <is>
          <t>bool</t>
        </is>
      </c>
      <c r="H39" s="3" t="inlineStr">
        <is>
          <t>interview_later</t>
        </is>
      </c>
      <c r="I39" s="3" t="inlineStr"/>
      <c r="J39" s="3" t="inlineStr">
        <is>
          <t>generic</t>
        </is>
      </c>
      <c r="K39" s="3" t="inlineStr">
        <is>
          <t>N</t>
        </is>
      </c>
      <c r="L39" s="3" t="inlineStr">
        <is>
          <t>Spend sits in 기타경비</t>
        </is>
      </c>
    </row>
    <row r="40">
      <c r="A40" s="3" t="inlineStr">
        <is>
          <t>mkt_celebrity_visits</t>
        </is>
      </c>
      <c r="B40" s="3" t="inlineStr">
        <is>
          <t>연예인 방문 비율</t>
        </is>
      </c>
      <c r="C40" s="3" t="inlineStr">
        <is>
          <t>Celebrity visit share</t>
        </is>
      </c>
      <c r="D40" s="3" t="inlineStr">
        <is>
          <t>영업·마케팅</t>
        </is>
      </c>
      <c r="E40" s="3" t="inlineStr">
        <is>
          <t>drv_arrival_rate</t>
        </is>
      </c>
      <c r="F40" s="3" t="inlineStr">
        <is>
          <t>비율</t>
        </is>
      </c>
      <c r="G40" s="3" t="inlineStr">
        <is>
          <t>number</t>
        </is>
      </c>
      <c r="H40" s="3" t="inlineStr">
        <is>
          <t>interview_later</t>
        </is>
      </c>
      <c r="I40" s="3" t="inlineStr"/>
      <c r="J40" s="3" t="inlineStr">
        <is>
          <t>generic</t>
        </is>
      </c>
      <c r="K40" s="3" t="inlineStr">
        <is>
          <t>N</t>
        </is>
      </c>
      <c r="L40" s="3" t="inlineStr">
        <is>
          <t>Rare; demand spike</t>
        </is>
      </c>
    </row>
    <row r="41">
      <c r="A41" s="3" t="inlineStr">
        <is>
          <t>mkt_waitlist_app</t>
        </is>
      </c>
      <c r="B41" s="3" t="inlineStr">
        <is>
          <t>테이블링/캐치테이블</t>
        </is>
      </c>
      <c r="C41" s="3" t="inlineStr">
        <is>
          <t>Waitlist / reservation app</t>
        </is>
      </c>
      <c r="D41" s="3" t="inlineStr">
        <is>
          <t>영업·마케팅</t>
        </is>
      </c>
      <c r="E41" s="3" t="inlineStr">
        <is>
          <t>drv_balk_rate</t>
        </is>
      </c>
      <c r="F41" s="3" t="inlineStr">
        <is>
          <t>Y/N</t>
        </is>
      </c>
      <c r="G41" s="3" t="inlineStr">
        <is>
          <t>bool</t>
        </is>
      </c>
      <c r="H41" s="3" t="inlineStr">
        <is>
          <t>guesstimate</t>
        </is>
      </c>
      <c r="I41" s="3" t="inlineStr">
        <is>
          <t>D0930</t>
        </is>
      </c>
      <c r="J41" s="3" t="inlineStr">
        <is>
          <t>generic</t>
        </is>
      </c>
      <c r="K41" s="3" t="inlineStr">
        <is>
          <t>N</t>
        </is>
      </c>
      <c r="L41" s="3" t="inlineStr">
        <is>
          <t>Hero = N by scope (미도입)</t>
        </is>
      </c>
    </row>
    <row r="42">
      <c r="A42" s="3" t="inlineStr">
        <is>
          <t>mkt_delivery</t>
        </is>
      </c>
      <c r="B42" s="3" t="inlineStr">
        <is>
          <t>배달 여부</t>
        </is>
      </c>
      <c r="C42" s="3" t="inlineStr">
        <is>
          <t>Delivery</t>
        </is>
      </c>
      <c r="D42" s="3" t="inlineStr">
        <is>
          <t>영업·마케팅</t>
        </is>
      </c>
      <c r="E42" s="3" t="inlineStr">
        <is>
          <t>drv_fees</t>
        </is>
      </c>
      <c r="F42" s="3" t="inlineStr">
        <is>
          <t>Y/N</t>
        </is>
      </c>
      <c r="G42" s="3" t="inlineStr">
        <is>
          <t>bool</t>
        </is>
      </c>
      <c r="H42" s="3" t="inlineStr">
        <is>
          <t>guesstimate</t>
        </is>
      </c>
      <c r="I42" s="3" t="inlineStr">
        <is>
          <t>D0930</t>
        </is>
      </c>
      <c r="J42" s="3" t="inlineStr">
        <is>
          <t>generic</t>
        </is>
      </c>
      <c r="K42" s="3" t="inlineStr">
        <is>
          <t>N</t>
        </is>
      </c>
      <c r="L42" s="3" t="inlineStr">
        <is>
          <t>Hero = N by scope (미도입, no platform)</t>
        </is>
      </c>
    </row>
    <row r="43">
      <c r="A43" s="3" t="inlineStr">
        <is>
          <t>mkt_price_elasticity</t>
        </is>
      </c>
      <c r="B43" s="3" t="inlineStr">
        <is>
          <t>가격탄력성 (도착률)</t>
        </is>
      </c>
      <c r="C43" s="3" t="inlineStr">
        <is>
          <t>Price elasticity of arrivals</t>
        </is>
      </c>
      <c r="D43" s="3" t="inlineStr">
        <is>
          <t>영업·마케팅</t>
        </is>
      </c>
      <c r="E43" s="3" t="inlineStr">
        <is>
          <t>drv_arrival_rate</t>
        </is>
      </c>
      <c r="F43" s="3" t="inlineStr">
        <is>
          <t>탄력성</t>
        </is>
      </c>
      <c r="G43" s="3" t="inlineStr">
        <is>
          <t>number</t>
        </is>
      </c>
      <c r="H43" s="3" t="inlineStr">
        <is>
          <t>guesstimate</t>
        </is>
      </c>
      <c r="I43" s="3" t="inlineStr">
        <is>
          <t>S58;S59</t>
        </is>
      </c>
      <c r="J43" s="3" t="inlineStr">
        <is>
          <t>generic</t>
        </is>
      </c>
      <c r="K43" s="3" t="inlineStr">
        <is>
          <t>Y</t>
        </is>
      </c>
      <c r="L43" s="3" t="inlineStr">
        <is>
          <t>Needed by the price shock. FAFH meta-analysis mean -0.81 (US, category); one store is likely more elastic</t>
        </is>
      </c>
    </row>
    <row r="44">
      <c r="A44" s="3" t="inlineStr">
        <is>
          <t>mkt_party_size</t>
        </is>
      </c>
      <c r="B44" s="3" t="inlineStr">
        <is>
          <t>일행 수</t>
        </is>
      </c>
      <c r="C44" s="3" t="inlineStr">
        <is>
          <t>Party size</t>
        </is>
      </c>
      <c r="D44" s="3" t="inlineStr">
        <is>
          <t>영업·마케팅</t>
        </is>
      </c>
      <c r="E44" s="3" t="inlineStr">
        <is>
          <t>drv_arrival_rate</t>
        </is>
      </c>
      <c r="F44" s="3" t="inlineStr">
        <is>
          <t>명/팀</t>
        </is>
      </c>
      <c r="G44" s="3" t="inlineStr">
        <is>
          <t>number</t>
        </is>
      </c>
      <c r="H44" s="3" t="inlineStr">
        <is>
          <t>guesstimate</t>
        </is>
      </c>
      <c r="I44" s="3" t="inlineStr">
        <is>
          <t>S72;S12</t>
        </is>
      </c>
      <c r="J44" s="3" t="inlineStr">
        <is>
          <t>generic</t>
        </is>
      </c>
      <c r="K44" s="3" t="inlineStr">
        <is>
          <t>Y</t>
        </is>
      </c>
      <c r="L44" s="3" t="inlineStr">
        <is>
          <t>Converts arrivals (팀) to covers (명). No Korean distribution; see the pairs-heavy sensitivity in docs/SIMULATION.md</t>
        </is>
      </c>
    </row>
    <row r="45">
      <c r="A45" s="3" t="inlineStr">
        <is>
          <t>mkt_patience</t>
        </is>
      </c>
      <c r="B45" s="3" t="inlineStr">
        <is>
          <t>대기 인내시간</t>
        </is>
      </c>
      <c r="C45" s="3" t="inlineStr">
        <is>
          <t>Queue patience</t>
        </is>
      </c>
      <c r="D45" s="3" t="inlineStr">
        <is>
          <t>영업·마케팅</t>
        </is>
      </c>
      <c r="E45" s="3" t="inlineStr">
        <is>
          <t>drv_balk_rate</t>
        </is>
      </c>
      <c r="F45" s="3" t="inlineStr">
        <is>
          <t>분</t>
        </is>
      </c>
      <c r="G45" s="3" t="inlineStr">
        <is>
          <t>number</t>
        </is>
      </c>
      <c r="H45" s="3" t="inlineStr">
        <is>
          <t>guesstimate</t>
        </is>
      </c>
      <c r="I45" s="3" t="inlineStr">
        <is>
          <t>S60;S61</t>
        </is>
      </c>
      <c r="J45" s="3" t="inlineStr">
        <is>
          <t>generic</t>
        </is>
      </c>
      <c r="K45" s="3" t="inlineStr">
        <is>
          <t>Y</t>
        </is>
      </c>
      <c r="L45" s="3" t="inlineStr">
        <is>
          <t>Walk away if wait &gt; patience; mean set so P(patience &lt;= 30 min) = 0.72 (Toast survey)</t>
        </is>
      </c>
    </row>
    <row r="46">
      <c r="A46" s="3" t="inlineStr">
        <is>
          <t>seg_twenties_party_factor</t>
        </is>
      </c>
      <c r="B46" s="3" t="inlineStr">
        <is>
          <t>20대 친구 모임 일행 규모 계수</t>
        </is>
      </c>
      <c r="C46" s="3" t="inlineStr">
        <is>
          <t>twenties party size factor</t>
        </is>
      </c>
      <c r="D46" s="3" t="inlineStr">
        <is>
          <t>지역</t>
        </is>
      </c>
      <c r="E46" s="3" t="inlineStr">
        <is>
          <t>drv_covers</t>
        </is>
      </c>
      <c r="F46" s="3" t="inlineStr">
        <is>
          <t>배수</t>
        </is>
      </c>
      <c r="G46" s="3" t="inlineStr">
        <is>
          <t>number</t>
        </is>
      </c>
      <c r="H46" s="3" t="inlineStr">
        <is>
          <t>guesstimate</t>
        </is>
      </c>
      <c r="I46" s="3" t="inlineStr"/>
      <c r="J46" s="3" t="inlineStr">
        <is>
          <t>generic</t>
        </is>
      </c>
      <c r="K46" s="3" t="inlineStr">
        <is>
          <t>Y</t>
        </is>
      </c>
      <c r="L46" s="3" t="inlineStr">
        <is>
          <t>relative; store-wide mean pinned to mkt_party_size</t>
        </is>
      </c>
    </row>
    <row r="47">
      <c r="A47" s="3" t="inlineStr">
        <is>
          <t>seg_twenties_dwell_factor</t>
        </is>
      </c>
      <c r="B47" s="3" t="inlineStr">
        <is>
          <t>20대 친구 모임 체류시간 계수</t>
        </is>
      </c>
      <c r="C47" s="3" t="inlineStr">
        <is>
          <t>twenties dwell factor</t>
        </is>
      </c>
      <c r="D47" s="3" t="inlineStr">
        <is>
          <t>지역</t>
        </is>
      </c>
      <c r="E47" s="3" t="inlineStr">
        <is>
          <t>drv_dwell_time</t>
        </is>
      </c>
      <c r="F47" s="3" t="inlineStr">
        <is>
          <t>배수</t>
        </is>
      </c>
      <c r="G47" s="3" t="inlineStr">
        <is>
          <t>number</t>
        </is>
      </c>
      <c r="H47" s="3" t="inlineStr">
        <is>
          <t>guesstimate</t>
        </is>
      </c>
      <c r="I47" s="3" t="inlineStr"/>
      <c r="J47" s="3" t="inlineStr">
        <is>
          <t>generic</t>
        </is>
      </c>
      <c r="K47" s="3" t="inlineStr">
        <is>
          <t>Y</t>
        </is>
      </c>
      <c r="L47" s="3" t="inlineStr">
        <is>
          <t>relative; store-wide mean pinned to drv_dwell_time</t>
        </is>
      </c>
    </row>
    <row r="48">
      <c r="A48" s="3" t="inlineStr">
        <is>
          <t>seg_twenties_alcohol_factor</t>
        </is>
      </c>
      <c r="B48" s="3" t="inlineStr">
        <is>
          <t>20대 친구 모임 1인당 음주 계수</t>
        </is>
      </c>
      <c r="C48" s="3" t="inlineStr">
        <is>
          <t>twenties alcohol per person factor</t>
        </is>
      </c>
      <c r="D48" s="3" t="inlineStr">
        <is>
          <t>지역</t>
        </is>
      </c>
      <c r="E48" s="3" t="inlineStr">
        <is>
          <t>drv_ticket</t>
        </is>
      </c>
      <c r="F48" s="3" t="inlineStr">
        <is>
          <t>배수</t>
        </is>
      </c>
      <c r="G48" s="3" t="inlineStr">
        <is>
          <t>number</t>
        </is>
      </c>
      <c r="H48" s="3" t="inlineStr">
        <is>
          <t>guesstimate</t>
        </is>
      </c>
      <c r="I48" s="3" t="inlineStr"/>
      <c r="J48" s="3" t="inlineStr">
        <is>
          <t>bbq</t>
        </is>
      </c>
      <c r="K48" s="3" t="inlineStr">
        <is>
          <t>Y</t>
        </is>
      </c>
      <c r="L48" s="3" t="inlineStr">
        <is>
          <t>relative; cover-weighted mean pinned to prd_alcohol_per_cover</t>
        </is>
      </c>
    </row>
    <row r="49">
      <c r="A49" s="3" t="inlineStr">
        <is>
          <t>seg_twenties_patience_factor</t>
        </is>
      </c>
      <c r="B49" s="3" t="inlineStr">
        <is>
          <t>20대 친구 모임 대기 인내 계수</t>
        </is>
      </c>
      <c r="C49" s="3" t="inlineStr">
        <is>
          <t>twenties patience factor</t>
        </is>
      </c>
      <c r="D49" s="3" t="inlineStr">
        <is>
          <t>지역</t>
        </is>
      </c>
      <c r="E49" s="3" t="inlineStr">
        <is>
          <t>drv_balk_rate</t>
        </is>
      </c>
      <c r="F49" s="3" t="inlineStr">
        <is>
          <t>배수</t>
        </is>
      </c>
      <c r="G49" s="3" t="inlineStr">
        <is>
          <t>number</t>
        </is>
      </c>
      <c r="H49" s="3" t="inlineStr">
        <is>
          <t>guesstimate</t>
        </is>
      </c>
      <c r="I49" s="3" t="inlineStr"/>
      <c r="J49" s="3" t="inlineStr">
        <is>
          <t>generic</t>
        </is>
      </c>
      <c r="K49" s="3" t="inlineStr">
        <is>
          <t>Y</t>
        </is>
      </c>
      <c r="L49" s="3" t="inlineStr">
        <is>
          <t>relative; mean pinned to mkt_patience</t>
        </is>
      </c>
    </row>
    <row r="50">
      <c r="A50" s="3" t="inlineStr">
        <is>
          <t>seg_twenties_early_mult</t>
        </is>
      </c>
      <c r="B50" s="3" t="inlineStr">
        <is>
          <t>20대 친구 모임 이른 저녁(17~19시) 도착 가중치</t>
        </is>
      </c>
      <c r="C50" s="3" t="inlineStr">
        <is>
          <t>twenties early-evening arrival weight</t>
        </is>
      </c>
      <c r="D50" s="3" t="inlineStr">
        <is>
          <t>지역</t>
        </is>
      </c>
      <c r="E50" s="3" t="inlineStr">
        <is>
          <t>drv_arrival_rate</t>
        </is>
      </c>
      <c r="F50" s="3" t="inlineStr">
        <is>
          <t>배수</t>
        </is>
      </c>
      <c r="G50" s="3" t="inlineStr">
        <is>
          <t>number</t>
        </is>
      </c>
      <c r="H50" s="3" t="inlineStr">
        <is>
          <t>guesstimate</t>
        </is>
      </c>
      <c r="I50" s="3" t="inlineStr"/>
      <c r="J50" s="3" t="inlineStr">
        <is>
          <t>generic</t>
        </is>
      </c>
      <c r="K50" s="3" t="inlineStr">
        <is>
          <t>Y</t>
        </is>
      </c>
      <c r="L50" s="3" t="inlineStr">
        <is>
          <t>multiplies the segment's age share for arrivals before 19:00</t>
        </is>
      </c>
    </row>
    <row r="51">
      <c r="A51" s="3" t="inlineStr">
        <is>
          <t>seg_twenties_late_mult</t>
        </is>
      </c>
      <c r="B51" s="3" t="inlineStr">
        <is>
          <t>20대 친구 모임 늦은 밤(21시 이후) 도착 가중치</t>
        </is>
      </c>
      <c r="C51" s="3" t="inlineStr">
        <is>
          <t>twenties late-night arrival weight</t>
        </is>
      </c>
      <c r="D51" s="3" t="inlineStr">
        <is>
          <t>지역</t>
        </is>
      </c>
      <c r="E51" s="3" t="inlineStr">
        <is>
          <t>drv_arrival_rate</t>
        </is>
      </c>
      <c r="F51" s="3" t="inlineStr">
        <is>
          <t>배수</t>
        </is>
      </c>
      <c r="G51" s="3" t="inlineStr">
        <is>
          <t>number</t>
        </is>
      </c>
      <c r="H51" s="3" t="inlineStr">
        <is>
          <t>guesstimate</t>
        </is>
      </c>
      <c r="I51" s="3" t="inlineStr"/>
      <c r="J51" s="3" t="inlineStr">
        <is>
          <t>generic</t>
        </is>
      </c>
      <c r="K51" s="3" t="inlineStr">
        <is>
          <t>Y</t>
        </is>
      </c>
      <c r="L51" s="3" t="inlineStr">
        <is>
          <t>multiplies the segment's age share for arrivals from 21:00</t>
        </is>
      </c>
    </row>
    <row r="52">
      <c r="A52" s="3" t="inlineStr">
        <is>
          <t>seg_office_party_factor</t>
        </is>
      </c>
      <c r="B52" s="3" t="inlineStr">
        <is>
          <t>직장인 회식 일행 규모 계수</t>
        </is>
      </c>
      <c r="C52" s="3" t="inlineStr">
        <is>
          <t>office party size factor</t>
        </is>
      </c>
      <c r="D52" s="3" t="inlineStr">
        <is>
          <t>지역</t>
        </is>
      </c>
      <c r="E52" s="3" t="inlineStr">
        <is>
          <t>drv_covers</t>
        </is>
      </c>
      <c r="F52" s="3" t="inlineStr">
        <is>
          <t>배수</t>
        </is>
      </c>
      <c r="G52" s="3" t="inlineStr">
        <is>
          <t>number</t>
        </is>
      </c>
      <c r="H52" s="3" t="inlineStr">
        <is>
          <t>guesstimate</t>
        </is>
      </c>
      <c r="I52" s="3" t="inlineStr"/>
      <c r="J52" s="3" t="inlineStr">
        <is>
          <t>generic</t>
        </is>
      </c>
      <c r="K52" s="3" t="inlineStr">
        <is>
          <t>Y</t>
        </is>
      </c>
      <c r="L52" s="3" t="inlineStr">
        <is>
          <t>relative; store-wide mean pinned to mkt_party_size</t>
        </is>
      </c>
    </row>
    <row r="53">
      <c r="A53" s="3" t="inlineStr">
        <is>
          <t>seg_office_dwell_factor</t>
        </is>
      </c>
      <c r="B53" s="3" t="inlineStr">
        <is>
          <t>직장인 회식 체류시간 계수</t>
        </is>
      </c>
      <c r="C53" s="3" t="inlineStr">
        <is>
          <t>office dwell factor</t>
        </is>
      </c>
      <c r="D53" s="3" t="inlineStr">
        <is>
          <t>지역</t>
        </is>
      </c>
      <c r="E53" s="3" t="inlineStr">
        <is>
          <t>drv_dwell_time</t>
        </is>
      </c>
      <c r="F53" s="3" t="inlineStr">
        <is>
          <t>배수</t>
        </is>
      </c>
      <c r="G53" s="3" t="inlineStr">
        <is>
          <t>number</t>
        </is>
      </c>
      <c r="H53" s="3" t="inlineStr">
        <is>
          <t>guesstimate</t>
        </is>
      </c>
      <c r="I53" s="3" t="inlineStr"/>
      <c r="J53" s="3" t="inlineStr">
        <is>
          <t>generic</t>
        </is>
      </c>
      <c r="K53" s="3" t="inlineStr">
        <is>
          <t>Y</t>
        </is>
      </c>
      <c r="L53" s="3" t="inlineStr">
        <is>
          <t>relative; store-wide mean pinned to drv_dwell_time</t>
        </is>
      </c>
    </row>
    <row r="54">
      <c r="A54" s="3" t="inlineStr">
        <is>
          <t>seg_office_alcohol_factor</t>
        </is>
      </c>
      <c r="B54" s="3" t="inlineStr">
        <is>
          <t>직장인 회식 1인당 음주 계수</t>
        </is>
      </c>
      <c r="C54" s="3" t="inlineStr">
        <is>
          <t>office alcohol per person factor</t>
        </is>
      </c>
      <c r="D54" s="3" t="inlineStr">
        <is>
          <t>지역</t>
        </is>
      </c>
      <c r="E54" s="3" t="inlineStr">
        <is>
          <t>drv_ticket</t>
        </is>
      </c>
      <c r="F54" s="3" t="inlineStr">
        <is>
          <t>배수</t>
        </is>
      </c>
      <c r="G54" s="3" t="inlineStr">
        <is>
          <t>number</t>
        </is>
      </c>
      <c r="H54" s="3" t="inlineStr">
        <is>
          <t>guesstimate</t>
        </is>
      </c>
      <c r="I54" s="3" t="inlineStr"/>
      <c r="J54" s="3" t="inlineStr">
        <is>
          <t>bbq</t>
        </is>
      </c>
      <c r="K54" s="3" t="inlineStr">
        <is>
          <t>Y</t>
        </is>
      </c>
      <c r="L54" s="3" t="inlineStr">
        <is>
          <t>relative; cover-weighted mean pinned to prd_alcohol_per_cover</t>
        </is>
      </c>
    </row>
    <row r="55">
      <c r="A55" s="3" t="inlineStr">
        <is>
          <t>seg_office_patience_factor</t>
        </is>
      </c>
      <c r="B55" s="3" t="inlineStr">
        <is>
          <t>직장인 회식 대기 인내 계수</t>
        </is>
      </c>
      <c r="C55" s="3" t="inlineStr">
        <is>
          <t>office patience factor</t>
        </is>
      </c>
      <c r="D55" s="3" t="inlineStr">
        <is>
          <t>지역</t>
        </is>
      </c>
      <c r="E55" s="3" t="inlineStr">
        <is>
          <t>drv_balk_rate</t>
        </is>
      </c>
      <c r="F55" s="3" t="inlineStr">
        <is>
          <t>배수</t>
        </is>
      </c>
      <c r="G55" s="3" t="inlineStr">
        <is>
          <t>number</t>
        </is>
      </c>
      <c r="H55" s="3" t="inlineStr">
        <is>
          <t>guesstimate</t>
        </is>
      </c>
      <c r="I55" s="3" t="inlineStr"/>
      <c r="J55" s="3" t="inlineStr">
        <is>
          <t>generic</t>
        </is>
      </c>
      <c r="K55" s="3" t="inlineStr">
        <is>
          <t>Y</t>
        </is>
      </c>
      <c r="L55" s="3" t="inlineStr">
        <is>
          <t>relative; mean pinned to mkt_patience</t>
        </is>
      </c>
    </row>
    <row r="56">
      <c r="A56" s="3" t="inlineStr">
        <is>
          <t>seg_office_early_mult</t>
        </is>
      </c>
      <c r="B56" s="3" t="inlineStr">
        <is>
          <t>직장인 회식 이른 저녁(17~19시) 도착 가중치</t>
        </is>
      </c>
      <c r="C56" s="3" t="inlineStr">
        <is>
          <t>office early-evening arrival weight</t>
        </is>
      </c>
      <c r="D56" s="3" t="inlineStr">
        <is>
          <t>지역</t>
        </is>
      </c>
      <c r="E56" s="3" t="inlineStr">
        <is>
          <t>drv_arrival_rate</t>
        </is>
      </c>
      <c r="F56" s="3" t="inlineStr">
        <is>
          <t>배수</t>
        </is>
      </c>
      <c r="G56" s="3" t="inlineStr">
        <is>
          <t>number</t>
        </is>
      </c>
      <c r="H56" s="3" t="inlineStr">
        <is>
          <t>guesstimate</t>
        </is>
      </c>
      <c r="I56" s="3" t="inlineStr"/>
      <c r="J56" s="3" t="inlineStr">
        <is>
          <t>generic</t>
        </is>
      </c>
      <c r="K56" s="3" t="inlineStr">
        <is>
          <t>Y</t>
        </is>
      </c>
      <c r="L56" s="3" t="inlineStr">
        <is>
          <t>multiplies the segment's age share for arrivals before 19:00</t>
        </is>
      </c>
    </row>
    <row r="57">
      <c r="A57" s="3" t="inlineStr">
        <is>
          <t>seg_office_late_mult</t>
        </is>
      </c>
      <c r="B57" s="3" t="inlineStr">
        <is>
          <t>직장인 회식 늦은 밤(21시 이후) 도착 가중치</t>
        </is>
      </c>
      <c r="C57" s="3" t="inlineStr">
        <is>
          <t>office late-night arrival weight</t>
        </is>
      </c>
      <c r="D57" s="3" t="inlineStr">
        <is>
          <t>지역</t>
        </is>
      </c>
      <c r="E57" s="3" t="inlineStr">
        <is>
          <t>drv_arrival_rate</t>
        </is>
      </c>
      <c r="F57" s="3" t="inlineStr">
        <is>
          <t>배수</t>
        </is>
      </c>
      <c r="G57" s="3" t="inlineStr">
        <is>
          <t>number</t>
        </is>
      </c>
      <c r="H57" s="3" t="inlineStr">
        <is>
          <t>guesstimate</t>
        </is>
      </c>
      <c r="I57" s="3" t="inlineStr"/>
      <c r="J57" s="3" t="inlineStr">
        <is>
          <t>generic</t>
        </is>
      </c>
      <c r="K57" s="3" t="inlineStr">
        <is>
          <t>Y</t>
        </is>
      </c>
      <c r="L57" s="3" t="inlineStr">
        <is>
          <t>multiplies the segment's age share for arrivals from 21:00</t>
        </is>
      </c>
    </row>
    <row r="58">
      <c r="A58" s="3" t="inlineStr">
        <is>
          <t>seg_family_party_factor</t>
        </is>
      </c>
      <c r="B58" s="3" t="inlineStr">
        <is>
          <t>동네 가족 일행 규모 계수</t>
        </is>
      </c>
      <c r="C58" s="3" t="inlineStr">
        <is>
          <t>family party size factor</t>
        </is>
      </c>
      <c r="D58" s="3" t="inlineStr">
        <is>
          <t>지역</t>
        </is>
      </c>
      <c r="E58" s="3" t="inlineStr">
        <is>
          <t>drv_covers</t>
        </is>
      </c>
      <c r="F58" s="3" t="inlineStr">
        <is>
          <t>배수</t>
        </is>
      </c>
      <c r="G58" s="3" t="inlineStr">
        <is>
          <t>number</t>
        </is>
      </c>
      <c r="H58" s="3" t="inlineStr">
        <is>
          <t>guesstimate</t>
        </is>
      </c>
      <c r="I58" s="3" t="inlineStr"/>
      <c r="J58" s="3" t="inlineStr">
        <is>
          <t>generic</t>
        </is>
      </c>
      <c r="K58" s="3" t="inlineStr">
        <is>
          <t>Y</t>
        </is>
      </c>
      <c r="L58" s="3" t="inlineStr">
        <is>
          <t>relative; store-wide mean pinned to mkt_party_size</t>
        </is>
      </c>
    </row>
    <row r="59">
      <c r="A59" s="3" t="inlineStr">
        <is>
          <t>seg_family_dwell_factor</t>
        </is>
      </c>
      <c r="B59" s="3" t="inlineStr">
        <is>
          <t>동네 가족 체류시간 계수</t>
        </is>
      </c>
      <c r="C59" s="3" t="inlineStr">
        <is>
          <t>family dwell factor</t>
        </is>
      </c>
      <c r="D59" s="3" t="inlineStr">
        <is>
          <t>지역</t>
        </is>
      </c>
      <c r="E59" s="3" t="inlineStr">
        <is>
          <t>drv_dwell_time</t>
        </is>
      </c>
      <c r="F59" s="3" t="inlineStr">
        <is>
          <t>배수</t>
        </is>
      </c>
      <c r="G59" s="3" t="inlineStr">
        <is>
          <t>number</t>
        </is>
      </c>
      <c r="H59" s="3" t="inlineStr">
        <is>
          <t>guesstimate</t>
        </is>
      </c>
      <c r="I59" s="3" t="inlineStr"/>
      <c r="J59" s="3" t="inlineStr">
        <is>
          <t>generic</t>
        </is>
      </c>
      <c r="K59" s="3" t="inlineStr">
        <is>
          <t>Y</t>
        </is>
      </c>
      <c r="L59" s="3" t="inlineStr">
        <is>
          <t>relative; store-wide mean pinned to drv_dwell_time</t>
        </is>
      </c>
    </row>
    <row r="60">
      <c r="A60" s="3" t="inlineStr">
        <is>
          <t>seg_family_alcohol_factor</t>
        </is>
      </c>
      <c r="B60" s="3" t="inlineStr">
        <is>
          <t>동네 가족 1인당 음주 계수</t>
        </is>
      </c>
      <c r="C60" s="3" t="inlineStr">
        <is>
          <t>family alcohol per person factor</t>
        </is>
      </c>
      <c r="D60" s="3" t="inlineStr">
        <is>
          <t>지역</t>
        </is>
      </c>
      <c r="E60" s="3" t="inlineStr">
        <is>
          <t>drv_ticket</t>
        </is>
      </c>
      <c r="F60" s="3" t="inlineStr">
        <is>
          <t>배수</t>
        </is>
      </c>
      <c r="G60" s="3" t="inlineStr">
        <is>
          <t>number</t>
        </is>
      </c>
      <c r="H60" s="3" t="inlineStr">
        <is>
          <t>guesstimate</t>
        </is>
      </c>
      <c r="I60" s="3" t="inlineStr"/>
      <c r="J60" s="3" t="inlineStr">
        <is>
          <t>bbq</t>
        </is>
      </c>
      <c r="K60" s="3" t="inlineStr">
        <is>
          <t>Y</t>
        </is>
      </c>
      <c r="L60" s="3" t="inlineStr">
        <is>
          <t>relative; cover-weighted mean pinned to prd_alcohol_per_cover</t>
        </is>
      </c>
    </row>
    <row r="61">
      <c r="A61" s="3" t="inlineStr">
        <is>
          <t>seg_family_patience_factor</t>
        </is>
      </c>
      <c r="B61" s="3" t="inlineStr">
        <is>
          <t>동네 가족 대기 인내 계수</t>
        </is>
      </c>
      <c r="C61" s="3" t="inlineStr">
        <is>
          <t>family patience factor</t>
        </is>
      </c>
      <c r="D61" s="3" t="inlineStr">
        <is>
          <t>지역</t>
        </is>
      </c>
      <c r="E61" s="3" t="inlineStr">
        <is>
          <t>drv_balk_rate</t>
        </is>
      </c>
      <c r="F61" s="3" t="inlineStr">
        <is>
          <t>배수</t>
        </is>
      </c>
      <c r="G61" s="3" t="inlineStr">
        <is>
          <t>number</t>
        </is>
      </c>
      <c r="H61" s="3" t="inlineStr">
        <is>
          <t>guesstimate</t>
        </is>
      </c>
      <c r="I61" s="3" t="inlineStr"/>
      <c r="J61" s="3" t="inlineStr">
        <is>
          <t>generic</t>
        </is>
      </c>
      <c r="K61" s="3" t="inlineStr">
        <is>
          <t>Y</t>
        </is>
      </c>
      <c r="L61" s="3" t="inlineStr">
        <is>
          <t>relative; mean pinned to mkt_patience</t>
        </is>
      </c>
    </row>
    <row r="62">
      <c r="A62" s="3" t="inlineStr">
        <is>
          <t>seg_family_early_mult</t>
        </is>
      </c>
      <c r="B62" s="3" t="inlineStr">
        <is>
          <t>동네 가족 이른 저녁(17~19시) 도착 가중치</t>
        </is>
      </c>
      <c r="C62" s="3" t="inlineStr">
        <is>
          <t>family early-evening arrival weight</t>
        </is>
      </c>
      <c r="D62" s="3" t="inlineStr">
        <is>
          <t>지역</t>
        </is>
      </c>
      <c r="E62" s="3" t="inlineStr">
        <is>
          <t>drv_arrival_rate</t>
        </is>
      </c>
      <c r="F62" s="3" t="inlineStr">
        <is>
          <t>배수</t>
        </is>
      </c>
      <c r="G62" s="3" t="inlineStr">
        <is>
          <t>number</t>
        </is>
      </c>
      <c r="H62" s="3" t="inlineStr">
        <is>
          <t>guesstimate</t>
        </is>
      </c>
      <c r="I62" s="3" t="inlineStr"/>
      <c r="J62" s="3" t="inlineStr">
        <is>
          <t>generic</t>
        </is>
      </c>
      <c r="K62" s="3" t="inlineStr">
        <is>
          <t>Y</t>
        </is>
      </c>
      <c r="L62" s="3" t="inlineStr">
        <is>
          <t>multiplies the segment's age share for arrivals before 19:00</t>
        </is>
      </c>
    </row>
    <row r="63">
      <c r="A63" s="3" t="inlineStr">
        <is>
          <t>seg_family_late_mult</t>
        </is>
      </c>
      <c r="B63" s="3" t="inlineStr">
        <is>
          <t>동네 가족 늦은 밤(21시 이후) 도착 가중치</t>
        </is>
      </c>
      <c r="C63" s="3" t="inlineStr">
        <is>
          <t>family late-night arrival weight</t>
        </is>
      </c>
      <c r="D63" s="3" t="inlineStr">
        <is>
          <t>지역</t>
        </is>
      </c>
      <c r="E63" s="3" t="inlineStr">
        <is>
          <t>drv_arrival_rate</t>
        </is>
      </c>
      <c r="F63" s="3" t="inlineStr">
        <is>
          <t>배수</t>
        </is>
      </c>
      <c r="G63" s="3" t="inlineStr">
        <is>
          <t>number</t>
        </is>
      </c>
      <c r="H63" s="3" t="inlineStr">
        <is>
          <t>guesstimate</t>
        </is>
      </c>
      <c r="I63" s="3" t="inlineStr"/>
      <c r="J63" s="3" t="inlineStr">
        <is>
          <t>generic</t>
        </is>
      </c>
      <c r="K63" s="3" t="inlineStr">
        <is>
          <t>Y</t>
        </is>
      </c>
      <c r="L63" s="3" t="inlineStr">
        <is>
          <t>multiplies the segment's age share for arrivals from 21:00</t>
        </is>
      </c>
    </row>
    <row r="64">
      <c r="A64" s="3" t="inlineStr">
        <is>
          <t>reg_age_mix</t>
        </is>
      </c>
      <c r="B64" s="3" t="inlineStr">
        <is>
          <t>나이대 (20대 매출 비중)</t>
        </is>
      </c>
      <c r="C64" s="3" t="inlineStr">
        <is>
          <t>Age mix (20s share of sales)</t>
        </is>
      </c>
      <c r="D64" s="3" t="inlineStr">
        <is>
          <t>지역</t>
        </is>
      </c>
      <c r="E64" s="3" t="inlineStr">
        <is>
          <t>drv_arrival_rate</t>
        </is>
      </c>
      <c r="F64" s="3" t="inlineStr">
        <is>
          <t>비율</t>
        </is>
      </c>
      <c r="G64" s="3" t="inlineStr">
        <is>
          <t>number</t>
        </is>
      </c>
      <c r="H64" s="3" t="inlineStr">
        <is>
          <t>public</t>
        </is>
      </c>
      <c r="I64" s="3" t="inlineStr">
        <is>
          <t>S12</t>
        </is>
      </c>
      <c r="J64" s="3" t="inlineStr">
        <is>
          <t>generic</t>
        </is>
      </c>
      <c r="K64" s="3" t="inlineStr">
        <is>
          <t>Y</t>
        </is>
      </c>
      <c r="L64" s="3" t="inlineStr">
        <is>
          <t>대학로 2025 한식: 20대 28% / 30대 25%. Vacation shock hits the 20대 share</t>
        </is>
      </c>
    </row>
    <row r="65">
      <c r="A65" s="3" t="inlineStr">
        <is>
          <t>reg_evening_share</t>
        </is>
      </c>
      <c r="B65" s="3" t="inlineStr">
        <is>
          <t>저녁 매출 비중 (17–24시)</t>
        </is>
      </c>
      <c r="C65" s="3" t="inlineStr">
        <is>
          <t>Evening sales share</t>
        </is>
      </c>
      <c r="D65" s="3" t="inlineStr">
        <is>
          <t>지역</t>
        </is>
      </c>
      <c r="E65" s="3" t="inlineStr">
        <is>
          <t>drv_arrival_rate</t>
        </is>
      </c>
      <c r="F65" s="3" t="inlineStr">
        <is>
          <t>비율</t>
        </is>
      </c>
      <c r="G65" s="3" t="inlineStr">
        <is>
          <t>number</t>
        </is>
      </c>
      <c r="H65" s="3" t="inlineStr">
        <is>
          <t>public</t>
        </is>
      </c>
      <c r="I65" s="3" t="inlineStr">
        <is>
          <t>S12</t>
        </is>
      </c>
      <c r="J65" s="3" t="inlineStr">
        <is>
          <t>generic</t>
        </is>
      </c>
      <c r="K65" s="3" t="inlineStr">
        <is>
          <t>Y</t>
        </is>
      </c>
      <c r="L65" s="3" t="inlineStr">
        <is>
          <t>62–64%; shapes the hourly arrival curve</t>
        </is>
      </c>
    </row>
    <row r="66">
      <c r="A66" s="3" t="inlineStr">
        <is>
          <t>reg_foot_traffic</t>
        </is>
      </c>
      <c r="B66" s="3" t="inlineStr">
        <is>
          <t>지역 유동인구</t>
        </is>
      </c>
      <c r="C66" s="3" t="inlineStr">
        <is>
          <t>Foot traffic</t>
        </is>
      </c>
      <c r="D66" s="3" t="inlineStr">
        <is>
          <t>지역</t>
        </is>
      </c>
      <c r="E66" s="3" t="inlineStr">
        <is>
          <t>drv_arrival_rate</t>
        </is>
      </c>
      <c r="F66" s="3" t="inlineStr">
        <is>
          <t>명/분기</t>
        </is>
      </c>
      <c r="G66" s="3" t="inlineStr">
        <is>
          <t>number</t>
        </is>
      </c>
      <c r="H66" s="3" t="inlineStr">
        <is>
          <t>public</t>
        </is>
      </c>
      <c r="I66" s="3" t="inlineStr">
        <is>
          <t>S14</t>
        </is>
      </c>
      <c r="J66" s="3" t="inlineStr">
        <is>
          <t>generic</t>
        </is>
      </c>
      <c r="K66" s="3" t="inlineStr">
        <is>
          <t>N</t>
        </is>
      </c>
      <c r="L66" s="3" t="inlineStr">
        <is>
          <t>Pipeline fills; demand shock baseline</t>
        </is>
      </c>
    </row>
    <row r="67">
      <c r="A67" s="3" t="inlineStr">
        <is>
          <t>reg_trade_area_facilities</t>
        </is>
      </c>
      <c r="B67" s="3" t="inlineStr">
        <is>
          <t>주변 상권 분석 (학교/회사·집객시설)</t>
        </is>
      </c>
      <c r="C67" s="3" t="inlineStr">
        <is>
          <t>Anchor facilities (universities / stations)</t>
        </is>
      </c>
      <c r="D67" s="3" t="inlineStr">
        <is>
          <t>지역</t>
        </is>
      </c>
      <c r="E67" s="3" t="inlineStr">
        <is>
          <t>drv_arrival_rate</t>
        </is>
      </c>
      <c r="F67" s="3" t="inlineStr">
        <is>
          <t>개</t>
        </is>
      </c>
      <c r="G67" s="3" t="inlineStr">
        <is>
          <t>number</t>
        </is>
      </c>
      <c r="H67" s="3" t="inlineStr">
        <is>
          <t>public</t>
        </is>
      </c>
      <c r="I67" s="3" t="inlineStr">
        <is>
          <t>S17</t>
        </is>
      </c>
      <c r="J67" s="3" t="inlineStr">
        <is>
          <t>generic</t>
        </is>
      </c>
      <c r="K67" s="3" t="inlineStr">
        <is>
          <t>N</t>
        </is>
      </c>
      <c r="L67" s="3" t="inlineStr">
        <is>
          <t>Team doc: 주변 상권 분석(학교/회사). Pipeline fills</t>
        </is>
      </c>
    </row>
    <row r="68">
      <c r="A68" s="3" t="inlineStr">
        <is>
          <t>reg_worker_pop</t>
        </is>
      </c>
      <c r="B68" s="3" t="inlineStr">
        <is>
          <t>직장인구</t>
        </is>
      </c>
      <c r="C68" s="3" t="inlineStr">
        <is>
          <t>Worker population</t>
        </is>
      </c>
      <c r="D68" s="3" t="inlineStr">
        <is>
          <t>지역</t>
        </is>
      </c>
      <c r="E68" s="3" t="inlineStr">
        <is>
          <t>drv_arrival_rate</t>
        </is>
      </c>
      <c r="F68" s="3" t="inlineStr">
        <is>
          <t>명</t>
        </is>
      </c>
      <c r="G68" s="3" t="inlineStr">
        <is>
          <t>number</t>
        </is>
      </c>
      <c r="H68" s="3" t="inlineStr">
        <is>
          <t>public</t>
        </is>
      </c>
      <c r="I68" s="3" t="inlineStr">
        <is>
          <t>S16</t>
        </is>
      </c>
      <c r="J68" s="3" t="inlineStr">
        <is>
          <t>generic</t>
        </is>
      </c>
      <c r="K68" s="3" t="inlineStr">
        <is>
          <t>N</t>
        </is>
      </c>
      <c r="L68" s="3" t="inlineStr">
        <is>
          <t>회식 demand; pipeline fills</t>
        </is>
      </c>
    </row>
    <row r="69">
      <c r="A69" s="3" t="inlineStr">
        <is>
          <t>reg_competitors</t>
        </is>
      </c>
      <c r="B69" s="3" t="inlineStr">
        <is>
          <t>인근 돼지고기 구이 점포수</t>
        </is>
      </c>
      <c r="C69" s="3" t="inlineStr">
        <is>
          <t>Nearby pork BBQ stores</t>
        </is>
      </c>
      <c r="D69" s="3" t="inlineStr">
        <is>
          <t>지역</t>
        </is>
      </c>
      <c r="E69" s="3" t="inlineStr">
        <is>
          <t>drv_arrival_rate</t>
        </is>
      </c>
      <c r="F69" s="3" t="inlineStr">
        <is>
          <t>개</t>
        </is>
      </c>
      <c r="G69" s="3" t="inlineStr">
        <is>
          <t>number</t>
        </is>
      </c>
      <c r="H69" s="3" t="inlineStr">
        <is>
          <t>public</t>
        </is>
      </c>
      <c r="I69" s="3" t="inlineStr">
        <is>
          <t>S20;S18</t>
        </is>
      </c>
      <c r="J69" s="3" t="inlineStr">
        <is>
          <t>bbq</t>
        </is>
      </c>
      <c r="K69" s="3" t="inlineStr">
        <is>
          <t>Y</t>
        </is>
      </c>
      <c r="L69" s="3" t="inlineStr">
        <is>
          <t>27 I20107 stores inside 3120012 (~20 independent). Competitor shock target</t>
        </is>
      </c>
    </row>
    <row r="70">
      <c r="A70" s="3" t="inlineStr">
        <is>
          <t>cst_meat_cost_per_portion</t>
        </is>
      </c>
      <c r="B70" s="3" t="inlineStr">
        <is>
          <t>고기 원가 (1인분)</t>
        </is>
      </c>
      <c r="C70" s="3" t="inlineStr">
        <is>
          <t>Meat cost per portion</t>
        </is>
      </c>
      <c r="D70" s="3" t="inlineStr">
        <is>
          <t>Cost</t>
        </is>
      </c>
      <c r="E70" s="3" t="inlineStr">
        <is>
          <t>drv_food_cost</t>
        </is>
      </c>
      <c r="F70" s="3" t="inlineStr">
        <is>
          <t>₩/인분</t>
        </is>
      </c>
      <c r="G70" s="3" t="inlineStr">
        <is>
          <t>number</t>
        </is>
      </c>
      <c r="H70" s="3" t="inlineStr">
        <is>
          <t>guesstimate</t>
        </is>
      </c>
      <c r="I70" s="3" t="inlineStr">
        <is>
          <t>S68;S69</t>
        </is>
      </c>
      <c r="J70" s="3" t="inlineStr">
        <is>
          <t>bbq</t>
        </is>
      </c>
      <c r="K70" s="3" t="inlineStr">
        <is>
          <t>Y</t>
        </is>
      </c>
      <c r="L70" s="3" t="inlineStr">
        <is>
          <t>KMTA 냉장 삼겹 wholesale x 200g + 15-25% distributor/trim markup (assumption, unsourced); retail price is the ceiling. Wholesale shock target</t>
        </is>
      </c>
    </row>
    <row r="71">
      <c r="A71" s="3" t="inlineStr">
        <is>
          <t>cst_alcohol_cost_per_bottle</t>
        </is>
      </c>
      <c r="B71" s="3" t="inlineStr">
        <is>
          <t>주류 원가 (병)</t>
        </is>
      </c>
      <c r="C71" s="3" t="inlineStr">
        <is>
          <t>Soju cost per bottle</t>
        </is>
      </c>
      <c r="D71" s="3" t="inlineStr">
        <is>
          <t>Cost</t>
        </is>
      </c>
      <c r="E71" s="3" t="inlineStr">
        <is>
          <t>drv_food_cost</t>
        </is>
      </c>
      <c r="F71" s="3" t="inlineStr">
        <is>
          <t>₩/병</t>
        </is>
      </c>
      <c r="G71" s="3" t="inlineStr">
        <is>
          <t>number</t>
        </is>
      </c>
      <c r="H71" s="3" t="inlineStr">
        <is>
          <t>guesstimate</t>
        </is>
      </c>
      <c r="I71" s="3" t="inlineStr">
        <is>
          <t>S27</t>
        </is>
      </c>
      <c r="J71" s="3" t="inlineStr">
        <is>
          <t>generic</t>
        </is>
      </c>
      <c r="K71" s="3" t="inlineStr">
        <is>
          <t>Y</t>
        </is>
      </c>
      <c r="L71" s="3" t="inlineStr">
        <is>
          <t>₩6000 menu price − ₩4400 margin</t>
        </is>
      </c>
    </row>
    <row r="72">
      <c r="A72" s="3" t="inlineStr">
        <is>
          <t>cst_side_cost_ratio</t>
        </is>
      </c>
      <c r="B72" s="3" t="inlineStr">
        <is>
          <t>식사·사이드 원가율</t>
        </is>
      </c>
      <c r="C72" s="3" t="inlineStr">
        <is>
          <t>Meal/side cost ratio</t>
        </is>
      </c>
      <c r="D72" s="3" t="inlineStr">
        <is>
          <t>Cost</t>
        </is>
      </c>
      <c r="E72" s="3" t="inlineStr">
        <is>
          <t>drv_food_cost</t>
        </is>
      </c>
      <c r="F72" s="3" t="inlineStr">
        <is>
          <t>비율</t>
        </is>
      </c>
      <c r="G72" s="3" t="inlineStr">
        <is>
          <t>number</t>
        </is>
      </c>
      <c r="H72" s="3" t="inlineStr">
        <is>
          <t>guesstimate</t>
        </is>
      </c>
      <c r="I72" s="3" t="inlineStr"/>
      <c r="J72" s="3" t="inlineStr">
        <is>
          <t>bbq</t>
        </is>
      </c>
      <c r="K72" s="3" t="inlineStr">
        <is>
          <t>Y</t>
        </is>
      </c>
      <c r="L72" s="3" t="inlineStr">
        <is>
          <t>No source</t>
        </is>
      </c>
    </row>
    <row r="73">
      <c r="A73" s="3" t="inlineStr">
        <is>
          <t>cst_order_volume</t>
        </is>
      </c>
      <c r="B73" s="3" t="inlineStr">
        <is>
          <t>발주량 (고기)</t>
        </is>
      </c>
      <c r="C73" s="3" t="inlineStr">
        <is>
          <t>Meat order volume</t>
        </is>
      </c>
      <c r="D73" s="3" t="inlineStr">
        <is>
          <t>Cost</t>
        </is>
      </c>
      <c r="E73" s="3" t="inlineStr">
        <is>
          <t>drv_food_cost</t>
        </is>
      </c>
      <c r="F73" s="3" t="inlineStr">
        <is>
          <t>kg/월</t>
        </is>
      </c>
      <c r="G73" s="3" t="inlineStr">
        <is>
          <t>number</t>
        </is>
      </c>
      <c r="H73" s="3" t="inlineStr">
        <is>
          <t>derived</t>
        </is>
      </c>
      <c r="I73" s="3" t="inlineStr"/>
      <c r="J73" s="3" t="inlineStr">
        <is>
          <t>bbq</t>
        </is>
      </c>
      <c r="K73" s="3" t="inlineStr">
        <is>
          <t>Y</t>
        </is>
      </c>
      <c r="L73" s="3" t="inlineStr">
        <is>
          <t>Team doc: 발주량 and 발주 (merged). = 월 고객 × 인분/인 × 중량</t>
        </is>
      </c>
    </row>
    <row r="74">
      <c r="A74" s="3" t="inlineStr">
        <is>
          <t>cst_employee_wage</t>
        </is>
      </c>
      <c r="B74" s="3" t="inlineStr">
        <is>
          <t>정직원 월급</t>
        </is>
      </c>
      <c r="C74" s="3" t="inlineStr">
        <is>
          <t>Employee monthly wage</t>
        </is>
      </c>
      <c r="D74" s="3" t="inlineStr">
        <is>
          <t>Cost</t>
        </is>
      </c>
      <c r="E74" s="3" t="inlineStr">
        <is>
          <t>drv_labor_cost</t>
        </is>
      </c>
      <c r="F74" s="3" t="inlineStr">
        <is>
          <t>₩/월</t>
        </is>
      </c>
      <c r="G74" s="3" t="inlineStr">
        <is>
          <t>number</t>
        </is>
      </c>
      <c r="H74" s="3" t="inlineStr">
        <is>
          <t>guesstimate</t>
        </is>
      </c>
      <c r="I74" s="3" t="inlineStr">
        <is>
          <t>S36</t>
        </is>
      </c>
      <c r="J74" s="3" t="inlineStr">
        <is>
          <t>generic</t>
        </is>
      </c>
      <c r="K74" s="3" t="inlineStr">
        <is>
          <t>Y</t>
        </is>
      </c>
      <c r="L74" s="3" t="inlineStr">
        <is>
          <t>Floor = minimum wage × 209h</t>
        </is>
      </c>
    </row>
    <row r="75">
      <c r="A75" s="3" t="inlineStr">
        <is>
          <t>cst_owner_imputed_wage</t>
        </is>
      </c>
      <c r="B75" s="3" t="inlineStr">
        <is>
          <t>대표자 귀속 인건비</t>
        </is>
      </c>
      <c r="C75" s="3" t="inlineStr">
        <is>
          <t>Owner imputed wage</t>
        </is>
      </c>
      <c r="D75" s="3" t="inlineStr">
        <is>
          <t>Cost</t>
        </is>
      </c>
      <c r="E75" s="3" t="inlineStr">
        <is>
          <t>drv_labor_cost</t>
        </is>
      </c>
      <c r="F75" s="3" t="inlineStr">
        <is>
          <t>₩/월</t>
        </is>
      </c>
      <c r="G75" s="3" t="inlineStr">
        <is>
          <t>number</t>
        </is>
      </c>
      <c r="H75" s="3" t="inlineStr">
        <is>
          <t>guesstimate</t>
        </is>
      </c>
      <c r="I75" s="3" t="inlineStr">
        <is>
          <t>S32</t>
        </is>
      </c>
      <c r="J75" s="3" t="inlineStr">
        <is>
          <t>generic</t>
        </is>
      </c>
      <c r="K75" s="3" t="inlineStr">
        <is>
          <t>Y</t>
        </is>
      </c>
      <c r="L75" s="3" t="inlineStr">
        <is>
          <t>KREI counts it inside 인건비; owner take-home = OP + this</t>
        </is>
      </c>
    </row>
    <row r="76">
      <c r="A76" s="3" t="inlineStr">
        <is>
          <t>cst_holiday_pay_factor</t>
        </is>
      </c>
      <c r="B76" s="3" t="inlineStr">
        <is>
          <t>주휴·4대보험 계수</t>
        </is>
      </c>
      <c r="C76" s="3" t="inlineStr">
        <is>
          <t>Weekly-holiday pay factor</t>
        </is>
      </c>
      <c r="D76" s="3" t="inlineStr">
        <is>
          <t>Cost</t>
        </is>
      </c>
      <c r="E76" s="3" t="inlineStr">
        <is>
          <t>drv_labor_cost</t>
        </is>
      </c>
      <c r="F76" s="3" t="inlineStr">
        <is>
          <t>배수</t>
        </is>
      </c>
      <c r="G76" s="3" t="inlineStr">
        <is>
          <t>number</t>
        </is>
      </c>
      <c r="H76" s="3" t="inlineStr">
        <is>
          <t>guesstimate</t>
        </is>
      </c>
      <c r="I76" s="3" t="inlineStr">
        <is>
          <t>S36;S66;S67</t>
        </is>
      </c>
      <c r="J76" s="3" t="inlineStr">
        <is>
          <t>generic</t>
        </is>
      </c>
      <c r="K76" s="3" t="inlineStr">
        <is>
          <t>Y</t>
        </is>
      </c>
      <c r="L76" s="3" t="inlineStr">
        <is>
          <t>주휴 1.20 x employer social insurance 1.108</t>
        </is>
      </c>
    </row>
    <row r="77">
      <c r="A77" s="3" t="inlineStr">
        <is>
          <t>cst_utilities</t>
        </is>
      </c>
      <c r="B77" s="3" t="inlineStr">
        <is>
          <t>공과금·가스·숯</t>
        </is>
      </c>
      <c r="C77" s="3" t="inlineStr">
        <is>
          <t>Utilities / gas / charcoal</t>
        </is>
      </c>
      <c r="D77" s="3" t="inlineStr">
        <is>
          <t>Cost</t>
        </is>
      </c>
      <c r="E77" s="3" t="inlineStr">
        <is>
          <t>drv_mgmt_cost</t>
        </is>
      </c>
      <c r="F77" s="3" t="inlineStr">
        <is>
          <t>₩/월</t>
        </is>
      </c>
      <c r="G77" s="3" t="inlineStr">
        <is>
          <t>number</t>
        </is>
      </c>
      <c r="H77" s="3" t="inlineStr">
        <is>
          <t>guesstimate</t>
        </is>
      </c>
      <c r="I77" s="3" t="inlineStr">
        <is>
          <t>S31</t>
        </is>
      </c>
      <c r="J77" s="3" t="inlineStr">
        <is>
          <t>bbq</t>
        </is>
      </c>
      <c r="K77" s="3" t="inlineStr">
        <is>
          <t>Y</t>
        </is>
      </c>
      <c r="L77" s="3" t="inlineStr">
        <is>
          <t>Part of the KREI residual (non-food/labor/rent) share</t>
        </is>
      </c>
    </row>
    <row r="78">
      <c r="A78" s="3" t="inlineStr">
        <is>
          <t>cst_other_opex</t>
        </is>
      </c>
      <c r="B78" s="3" t="inlineStr">
        <is>
          <t>기타경비</t>
        </is>
      </c>
      <c r="C78" s="3" t="inlineStr">
        <is>
          <t>Other opex</t>
        </is>
      </c>
      <c r="D78" s="3" t="inlineStr">
        <is>
          <t>Cost</t>
        </is>
      </c>
      <c r="E78" s="3" t="inlineStr">
        <is>
          <t>drv_mgmt_cost</t>
        </is>
      </c>
      <c r="F78" s="3" t="inlineStr">
        <is>
          <t>₩/월</t>
        </is>
      </c>
      <c r="G78" s="3" t="inlineStr">
        <is>
          <t>number</t>
        </is>
      </c>
      <c r="H78" s="3" t="inlineStr">
        <is>
          <t>guesstimate</t>
        </is>
      </c>
      <c r="I78" s="3" t="inlineStr">
        <is>
          <t>S31</t>
        </is>
      </c>
      <c r="J78" s="3" t="inlineStr">
        <is>
          <t>generic</t>
        </is>
      </c>
      <c r="K78" s="3" t="inlineStr">
        <is>
          <t>Y</t>
        </is>
      </c>
      <c r="L78" s="3" t="inlineStr">
        <is>
          <t>소모품·세탁·보험·세무·마케팅; part of the KREI residual share</t>
        </is>
      </c>
    </row>
    <row r="79">
      <c r="A79" s="3" t="inlineStr">
        <is>
          <t>cst_card_share</t>
        </is>
      </c>
      <c r="B79" s="3" t="inlineStr">
        <is>
          <t>카드결제 비중</t>
        </is>
      </c>
      <c r="C79" s="3" t="inlineStr">
        <is>
          <t>Card payment share</t>
        </is>
      </c>
      <c r="D79" s="3" t="inlineStr">
        <is>
          <t>Cost</t>
        </is>
      </c>
      <c r="E79" s="3" t="inlineStr">
        <is>
          <t>drv_fees</t>
        </is>
      </c>
      <c r="F79" s="3" t="inlineStr">
        <is>
          <t>비율</t>
        </is>
      </c>
      <c r="G79" s="3" t="inlineStr">
        <is>
          <t>number</t>
        </is>
      </c>
      <c r="H79" s="3" t="inlineStr">
        <is>
          <t>guesstimate</t>
        </is>
      </c>
      <c r="I79" s="3" t="inlineStr">
        <is>
          <t>S65</t>
        </is>
      </c>
      <c r="J79" s="3" t="inlineStr">
        <is>
          <t>generic</t>
        </is>
      </c>
      <c r="K79" s="3" t="inlineStr">
        <is>
          <t>Y</t>
        </is>
      </c>
      <c r="L79" s="3" t="inlineStr">
        <is>
          <t>BOK payment survey (count basis), adjusted up for larger dinner tickets</t>
        </is>
      </c>
    </row>
    <row r="80">
      <c r="A80" s="3" t="inlineStr">
        <is>
          <t>cst_card_fee_rate</t>
        </is>
      </c>
      <c r="B80" s="3" t="inlineStr">
        <is>
          <t>카드수수료율</t>
        </is>
      </c>
      <c r="C80" s="3" t="inlineStr">
        <is>
          <t>Card fee rate</t>
        </is>
      </c>
      <c r="D80" s="3" t="inlineStr">
        <is>
          <t>Cost</t>
        </is>
      </c>
      <c r="E80" s="3" t="inlineStr">
        <is>
          <t>drv_fees</t>
        </is>
      </c>
      <c r="F80" s="3" t="inlineStr">
        <is>
          <t>비율</t>
        </is>
      </c>
      <c r="G80" s="3" t="inlineStr">
        <is>
          <t>number</t>
        </is>
      </c>
      <c r="H80" s="3" t="inlineStr">
        <is>
          <t>guesstimate</t>
        </is>
      </c>
      <c r="I80" s="3" t="inlineStr">
        <is>
          <t>S63;S65</t>
        </is>
      </c>
      <c r="J80" s="3" t="inlineStr">
        <is>
          <t>generic</t>
        </is>
      </c>
      <c r="K80" s="3" t="inlineStr">
        <is>
          <t>Y</t>
        </is>
      </c>
      <c r="L80" s="3" t="inlineStr">
        <is>
          <t>FSC preferential rate, 3-5억 sales bracket, credit/check blend</t>
        </is>
      </c>
    </row>
    <row r="81">
      <c r="A81" s="3" t="inlineStr">
        <is>
          <t>sto_area_pyeong</t>
        </is>
      </c>
      <c r="B81" s="3" t="inlineStr">
        <is>
          <t>가게 평수</t>
        </is>
      </c>
      <c r="C81" s="3" t="inlineStr">
        <is>
          <t>Floor area</t>
        </is>
      </c>
      <c r="D81" s="3" t="inlineStr">
        <is>
          <t>가게현황</t>
        </is>
      </c>
      <c r="E81" s="3" t="inlineStr">
        <is>
          <t>drv_seats</t>
        </is>
      </c>
      <c r="F81" s="3" t="inlineStr">
        <is>
          <t>평</t>
        </is>
      </c>
      <c r="G81" s="3" t="inlineStr">
        <is>
          <t>number</t>
        </is>
      </c>
      <c r="H81" s="3" t="inlineStr">
        <is>
          <t>guesstimate</t>
        </is>
      </c>
      <c r="I81" s="3" t="inlineStr">
        <is>
          <t>S34;S21</t>
        </is>
      </c>
      <c r="J81" s="3" t="inlineStr">
        <is>
          <t>generic</t>
        </is>
      </c>
      <c r="K81" s="3" t="inlineStr">
        <is>
          <t>N</t>
        </is>
      </c>
      <c r="L81" s="3" t="inlineStr">
        <is>
          <t>Team doc: 평수 and 가게 평수 (merged). Replace with the 대학로 I20107 median of 인허가 소재지면적 ㎡ ÷ 3.3058</t>
        </is>
      </c>
    </row>
    <row r="82">
      <c r="A82" s="3" t="inlineStr">
        <is>
          <t>sto_tables</t>
        </is>
      </c>
      <c r="B82" s="3" t="inlineStr">
        <is>
          <t>테이블 수</t>
        </is>
      </c>
      <c r="C82" s="3" t="inlineStr">
        <is>
          <t>Tables</t>
        </is>
      </c>
      <c r="D82" s="3" t="inlineStr">
        <is>
          <t>가게현황</t>
        </is>
      </c>
      <c r="E82" s="3" t="inlineStr">
        <is>
          <t>drv_seats</t>
        </is>
      </c>
      <c r="F82" s="3" t="inlineStr">
        <is>
          <t>개</t>
        </is>
      </c>
      <c r="G82" s="3" t="inlineStr">
        <is>
          <t>number</t>
        </is>
      </c>
      <c r="H82" s="3" t="inlineStr">
        <is>
          <t>guesstimate</t>
        </is>
      </c>
      <c r="I82" s="3" t="inlineStr">
        <is>
          <t>S34</t>
        </is>
      </c>
      <c r="J82" s="3" t="inlineStr">
        <is>
          <t>generic</t>
        </is>
      </c>
      <c r="K82" s="3" t="inlineStr">
        <is>
          <t>Y</t>
        </is>
      </c>
      <c r="L82" s="3" t="inlineStr">
        <is>
          <t>Team doc: 테이블/의자 수</t>
        </is>
      </c>
    </row>
    <row r="83">
      <c r="A83" s="3" t="inlineStr">
        <is>
          <t>sto_seats_per_table</t>
        </is>
      </c>
      <c r="B83" s="3" t="inlineStr">
        <is>
          <t>테이블당 의자 수</t>
        </is>
      </c>
      <c r="C83" s="3" t="inlineStr">
        <is>
          <t>Chairs per table</t>
        </is>
      </c>
      <c r="D83" s="3" t="inlineStr">
        <is>
          <t>가게현황</t>
        </is>
      </c>
      <c r="E83" s="3" t="inlineStr">
        <is>
          <t>drv_seats</t>
        </is>
      </c>
      <c r="F83" s="3" t="inlineStr">
        <is>
          <t>석/테이블</t>
        </is>
      </c>
      <c r="G83" s="3" t="inlineStr">
        <is>
          <t>number</t>
        </is>
      </c>
      <c r="H83" s="3" t="inlineStr">
        <is>
          <t>guesstimate</t>
        </is>
      </c>
      <c r="I83" s="3" t="inlineStr">
        <is>
          <t>S34</t>
        </is>
      </c>
      <c r="J83" s="3" t="inlineStr">
        <is>
          <t>generic</t>
        </is>
      </c>
      <c r="K83" s="3" t="inlineStr">
        <is>
          <t>Y</t>
        </is>
      </c>
      <c r="L83" s="3" t="inlineStr">
        <is>
          <t>Team doc: 테이블/의자 수. 60석 ÷ 15테이블 = 4</t>
        </is>
      </c>
    </row>
    <row r="84">
      <c r="A84" s="3" t="inlineStr">
        <is>
          <t>sto_terrace</t>
        </is>
      </c>
      <c r="B84" s="3" t="inlineStr">
        <is>
          <t>야장 좌석</t>
        </is>
      </c>
      <c r="C84" s="3" t="inlineStr">
        <is>
          <t>Terrace (야장) seats</t>
        </is>
      </c>
      <c r="D84" s="3" t="inlineStr">
        <is>
          <t>가게현황</t>
        </is>
      </c>
      <c r="E84" s="3" t="inlineStr">
        <is>
          <t>drv_seats</t>
        </is>
      </c>
      <c r="F84" s="3" t="inlineStr">
        <is>
          <t>석</t>
        </is>
      </c>
      <c r="G84" s="3" t="inlineStr">
        <is>
          <t>number</t>
        </is>
      </c>
      <c r="H84" s="3" t="inlineStr">
        <is>
          <t>guesstimate</t>
        </is>
      </c>
      <c r="I84" s="3" t="inlineStr"/>
      <c r="J84" s="3" t="inlineStr">
        <is>
          <t>generic</t>
        </is>
      </c>
      <c r="K84" s="3" t="inlineStr">
        <is>
          <t>Y</t>
        </is>
      </c>
      <c r="L84" s="3" t="inlineStr">
        <is>
          <t>Team doc: 야장 유무. 0 = no terrace</t>
        </is>
      </c>
    </row>
    <row r="85">
      <c r="A85" s="3" t="inlineStr">
        <is>
          <t>sto_terrace_availability</t>
        </is>
      </c>
      <c r="B85" s="3" t="inlineStr">
        <is>
          <t>야장 가용률</t>
        </is>
      </c>
      <c r="C85" s="3" t="inlineStr">
        <is>
          <t>Terrace availability</t>
        </is>
      </c>
      <c r="D85" s="3" t="inlineStr">
        <is>
          <t>가게현황</t>
        </is>
      </c>
      <c r="E85" s="3" t="inlineStr">
        <is>
          <t>drv_seats</t>
        </is>
      </c>
      <c r="F85" s="3" t="inlineStr">
        <is>
          <t>비율</t>
        </is>
      </c>
      <c r="G85" s="3" t="inlineStr">
        <is>
          <t>number</t>
        </is>
      </c>
      <c r="H85" s="3" t="inlineStr">
        <is>
          <t>guesstimate</t>
        </is>
      </c>
      <c r="I85" s="3" t="inlineStr"/>
      <c r="J85" s="3" t="inlineStr">
        <is>
          <t>generic</t>
        </is>
      </c>
      <c r="K85" s="3" t="inlineStr">
        <is>
          <t>Y</t>
        </is>
      </c>
      <c r="L85" s="3" t="inlineStr">
        <is>
          <t>Season and rain; rain shock sets it to 0</t>
        </is>
      </c>
    </row>
    <row r="86">
      <c r="A86" s="3" t="inlineStr">
        <is>
          <t>wx_rain_nights_share</t>
        </is>
      </c>
      <c r="B86" s="3" t="inlineStr">
        <is>
          <t>비 오는 밤 비율</t>
        </is>
      </c>
      <c r="C86" s="3" t="inlineStr">
        <is>
          <t>Share of rainy nights</t>
        </is>
      </c>
      <c r="D86" s="3" t="inlineStr">
        <is>
          <t>지역</t>
        </is>
      </c>
      <c r="E86" s="3" t="inlineStr">
        <is>
          <t>drv_arrival_rate</t>
        </is>
      </c>
      <c r="F86" s="3" t="inlineStr">
        <is>
          <t>비율</t>
        </is>
      </c>
      <c r="G86" s="3" t="inlineStr">
        <is>
          <t>number</t>
        </is>
      </c>
      <c r="H86" s="3" t="inlineStr">
        <is>
          <t>public</t>
        </is>
      </c>
      <c r="I86" s="3" t="inlineStr">
        <is>
          <t>S75</t>
        </is>
      </c>
      <c r="J86" s="3" t="inlineStr">
        <is>
          <t>generic</t>
        </is>
      </c>
      <c r="K86" s="3" t="inlineStr">
        <is>
          <t>Y</t>
        </is>
      </c>
      <c r="L86" s="3" t="inlineStr">
        <is>
          <t>Base month 0 (weather is already in sto_terrace_availability). SH10 sets the 기상청 October normal (5.9 of 31 days); SH10b sets every night</t>
        </is>
      </c>
    </row>
    <row r="87">
      <c r="A87" s="3" t="inlineStr">
        <is>
          <t>wx_rain_arrival_effect</t>
        </is>
      </c>
      <c r="B87" s="3" t="inlineStr">
        <is>
          <t>비 오는 밤 손님 변화</t>
        </is>
      </c>
      <c r="C87" s="3" t="inlineStr">
        <is>
          <t>Arrival change on a rainy night</t>
        </is>
      </c>
      <c r="D87" s="3" t="inlineStr">
        <is>
          <t>지역</t>
        </is>
      </c>
      <c r="E87" s="3" t="inlineStr">
        <is>
          <t>drv_arrival_rate</t>
        </is>
      </c>
      <c r="F87" s="3" t="inlineStr">
        <is>
          <t>비율</t>
        </is>
      </c>
      <c r="G87" s="3" t="inlineStr">
        <is>
          <t>number</t>
        </is>
      </c>
      <c r="H87" s="3" t="inlineStr">
        <is>
          <t>guesstimate</t>
        </is>
      </c>
      <c r="I87" s="3" t="inlineStr"/>
      <c r="J87" s="3" t="inlineStr">
        <is>
          <t>generic</t>
        </is>
      </c>
      <c r="K87" s="3" t="inlineStr">
        <is>
          <t>Y</t>
        </is>
      </c>
      <c r="L87" s="3" t="inlineStr">
        <is>
          <t>Applied only on rainy nights, which also close the terrace. No source</t>
        </is>
      </c>
    </row>
    <row r="88">
      <c r="A88" s="3" t="inlineStr">
        <is>
          <t>sto_occupancy</t>
        </is>
      </c>
      <c r="B88" s="3" t="inlineStr">
        <is>
          <t>좌석 점유율 (착석 시)</t>
        </is>
      </c>
      <c r="C88" s="3" t="inlineStr">
        <is>
          <t>Seat fill per seating</t>
        </is>
      </c>
      <c r="D88" s="3" t="inlineStr">
        <is>
          <t>가게현황</t>
        </is>
      </c>
      <c r="E88" s="3" t="inlineStr">
        <is>
          <t>drv_covers</t>
        </is>
      </c>
      <c r="F88" s="3" t="inlineStr">
        <is>
          <t>비율</t>
        </is>
      </c>
      <c r="G88" s="3" t="inlineStr">
        <is>
          <t>number</t>
        </is>
      </c>
      <c r="H88" s="3" t="inlineStr">
        <is>
          <t>guesstimate</t>
        </is>
      </c>
      <c r="I88" s="3" t="inlineStr"/>
      <c r="J88" s="3" t="inlineStr">
        <is>
          <t>generic</t>
        </is>
      </c>
      <c r="K88" s="3" t="inlineStr">
        <is>
          <t>Y</t>
        </is>
      </c>
      <c r="L88" s="3" t="inlineStr">
        <is>
          <t>Party size ÷ table size</t>
        </is>
      </c>
    </row>
    <row r="89">
      <c r="A89" s="3" t="inlineStr">
        <is>
          <t>sto_table_turns</t>
        </is>
      </c>
      <c r="B89" s="3" t="inlineStr">
        <is>
          <t>순환률 (회전율)</t>
        </is>
      </c>
      <c r="C89" s="3" t="inlineStr">
        <is>
          <t>Table turns per day</t>
        </is>
      </c>
      <c r="D89" s="3" t="inlineStr">
        <is>
          <t>가게현황</t>
        </is>
      </c>
      <c r="E89" s="3" t="inlineStr">
        <is>
          <t>drv_covers</t>
        </is>
      </c>
      <c r="F89" s="3" t="inlineStr">
        <is>
          <t>회/일</t>
        </is>
      </c>
      <c r="G89" s="3" t="inlineStr">
        <is>
          <t>number</t>
        </is>
      </c>
      <c r="H89" s="3" t="inlineStr">
        <is>
          <t>guesstimate</t>
        </is>
      </c>
      <c r="I89" s="3" t="inlineStr">
        <is>
          <t>S30</t>
        </is>
      </c>
      <c r="J89" s="3" t="inlineStr">
        <is>
          <t>generic</t>
        </is>
      </c>
      <c r="K89" s="3" t="inlineStr">
        <is>
          <t>Y</t>
        </is>
      </c>
      <c r="L89" s="3" t="inlineStr">
        <is>
          <t>Team doc: 순환률(회전율). Static P&amp;L input; simulation output (arrivals × dwell)</t>
        </is>
      </c>
    </row>
    <row r="90">
      <c r="A90" s="3" t="inlineStr">
        <is>
          <t>sto_open_days</t>
        </is>
      </c>
      <c r="B90" s="3" t="inlineStr">
        <is>
          <t>월 영업일수</t>
        </is>
      </c>
      <c r="C90" s="3" t="inlineStr">
        <is>
          <t>Open days per month</t>
        </is>
      </c>
      <c r="D90" s="3" t="inlineStr">
        <is>
          <t>가게현황</t>
        </is>
      </c>
      <c r="E90" s="3" t="inlineStr">
        <is>
          <t>drv_revenue</t>
        </is>
      </c>
      <c r="F90" s="3" t="inlineStr">
        <is>
          <t>일/월</t>
        </is>
      </c>
      <c r="G90" s="3" t="inlineStr">
        <is>
          <t>number</t>
        </is>
      </c>
      <c r="H90" s="3" t="inlineStr">
        <is>
          <t>guesstimate</t>
        </is>
      </c>
      <c r="I90" s="3" t="inlineStr"/>
      <c r="J90" s="3" t="inlineStr">
        <is>
          <t>generic</t>
        </is>
      </c>
      <c r="K90" s="3" t="inlineStr">
        <is>
          <t>Y</t>
        </is>
      </c>
      <c r="L90" s="3" t="inlineStr">
        <is>
          <t>One closed day per week assumed</t>
        </is>
      </c>
    </row>
    <row r="91">
      <c r="A91" s="3" t="inlineStr">
        <is>
          <t>sto_parttimers</t>
        </is>
      </c>
      <c r="B91" s="3" t="inlineStr">
        <is>
          <t>알바생 수 (교대당)</t>
        </is>
      </c>
      <c r="C91" s="3" t="inlineStr">
        <is>
          <t>Part-timers per shift</t>
        </is>
      </c>
      <c r="D91" s="3" t="inlineStr">
        <is>
          <t>가게현황</t>
        </is>
      </c>
      <c r="E91" s="3" t="inlineStr">
        <is>
          <t>drv_labor_cost</t>
        </is>
      </c>
      <c r="F91" s="3" t="inlineStr">
        <is>
          <t>명</t>
        </is>
      </c>
      <c r="G91" s="3" t="inlineStr">
        <is>
          <t>number</t>
        </is>
      </c>
      <c r="H91" s="3" t="inlineStr">
        <is>
          <t>guesstimate</t>
        </is>
      </c>
      <c r="I91" s="3" t="inlineStr">
        <is>
          <t>S31</t>
        </is>
      </c>
      <c r="J91" s="3" t="inlineStr">
        <is>
          <t>generic</t>
        </is>
      </c>
      <c r="K91" s="3" t="inlineStr">
        <is>
          <t>Y</t>
        </is>
      </c>
      <c r="L91" s="3" t="inlineStr">
        <is>
          <t>Team doc: 알바생 수. Also service capacity (wait, balking)</t>
        </is>
      </c>
    </row>
    <row r="92">
      <c r="A92" s="3" t="inlineStr">
        <is>
          <t>sto_parttime_wage</t>
        </is>
      </c>
      <c r="B92" s="3" t="inlineStr">
        <is>
          <t>알바생 시급</t>
        </is>
      </c>
      <c r="C92" s="3" t="inlineStr">
        <is>
          <t>Part-time hourly wage</t>
        </is>
      </c>
      <c r="D92" s="3" t="inlineStr">
        <is>
          <t>가게현황</t>
        </is>
      </c>
      <c r="E92" s="3" t="inlineStr">
        <is>
          <t>drv_labor_cost</t>
        </is>
      </c>
      <c r="F92" s="3" t="inlineStr">
        <is>
          <t>₩/시간</t>
        </is>
      </c>
      <c r="G92" s="3" t="inlineStr">
        <is>
          <t>number</t>
        </is>
      </c>
      <c r="H92" s="3" t="inlineStr">
        <is>
          <t>public</t>
        </is>
      </c>
      <c r="I92" s="3" t="inlineStr">
        <is>
          <t>S36</t>
        </is>
      </c>
      <c r="J92" s="3" t="inlineStr">
        <is>
          <t>generic</t>
        </is>
      </c>
      <c r="K92" s="3" t="inlineStr">
        <is>
          <t>Y</t>
        </is>
      </c>
      <c r="L92" s="3" t="inlineStr">
        <is>
          <t>Team doc: 알바생 시급. 2026 최저임금. Wage shock target</t>
        </is>
      </c>
    </row>
    <row r="93">
      <c r="A93" s="3" t="inlineStr">
        <is>
          <t>sto_parttime_shift_hours</t>
        </is>
      </c>
      <c r="B93" s="3" t="inlineStr">
        <is>
          <t>알바 근무시간 (교대)</t>
        </is>
      </c>
      <c r="C93" s="3" t="inlineStr">
        <is>
          <t>Part-time shift hours</t>
        </is>
      </c>
      <c r="D93" s="3" t="inlineStr">
        <is>
          <t>가게현황</t>
        </is>
      </c>
      <c r="E93" s="3" t="inlineStr">
        <is>
          <t>drv_labor_cost</t>
        </is>
      </c>
      <c r="F93" s="3" t="inlineStr">
        <is>
          <t>시간/일</t>
        </is>
      </c>
      <c r="G93" s="3" t="inlineStr">
        <is>
          <t>number</t>
        </is>
      </c>
      <c r="H93" s="3" t="inlineStr">
        <is>
          <t>guesstimate</t>
        </is>
      </c>
      <c r="I93" s="3" t="inlineStr"/>
      <c r="J93" s="3" t="inlineStr">
        <is>
          <t>generic</t>
        </is>
      </c>
      <c r="K93" s="3" t="inlineStr">
        <is>
          <t>Y</t>
        </is>
      </c>
      <c r="L93" s="3" t="inlineStr">
        <is>
          <t>Covers the evening peak</t>
        </is>
      </c>
    </row>
    <row r="94">
      <c r="A94" s="3" t="inlineStr">
        <is>
          <t>sto_employees</t>
        </is>
      </c>
      <c r="B94" s="3" t="inlineStr">
        <is>
          <t>정직원 수</t>
        </is>
      </c>
      <c r="C94" s="3" t="inlineStr">
        <is>
          <t>Full-time employees</t>
        </is>
      </c>
      <c r="D94" s="3" t="inlineStr">
        <is>
          <t>가게현황</t>
        </is>
      </c>
      <c r="E94" s="3" t="inlineStr">
        <is>
          <t>drv_labor_cost</t>
        </is>
      </c>
      <c r="F94" s="3" t="inlineStr">
        <is>
          <t>명</t>
        </is>
      </c>
      <c r="G94" s="3" t="inlineStr">
        <is>
          <t>number</t>
        </is>
      </c>
      <c r="H94" s="3" t="inlineStr">
        <is>
          <t>guesstimate</t>
        </is>
      </c>
      <c r="I94" s="3" t="inlineStr">
        <is>
          <t>S31</t>
        </is>
      </c>
      <c r="J94" s="3" t="inlineStr">
        <is>
          <t>generic</t>
        </is>
      </c>
      <c r="K94" s="3" t="inlineStr">
        <is>
          <t>Y</t>
        </is>
      </c>
      <c r="L94" s="3" t="inlineStr">
        <is>
          <t>KREI 육류구이 average 3.2 workers incl. owner</t>
        </is>
      </c>
    </row>
    <row r="95">
      <c r="A95" s="3" t="inlineStr">
        <is>
          <t>sto_wifi</t>
        </is>
      </c>
      <c r="B95" s="3" t="inlineStr">
        <is>
          <t>와이파이 유무</t>
        </is>
      </c>
      <c r="C95" s="3" t="inlineStr">
        <is>
          <t>Wi-Fi</t>
        </is>
      </c>
      <c r="D95" s="3" t="inlineStr">
        <is>
          <t>가게현황</t>
        </is>
      </c>
      <c r="E95" s="3" t="inlineStr">
        <is>
          <t>drv_dwell_time</t>
        </is>
      </c>
      <c r="F95" s="3" t="inlineStr">
        <is>
          <t>Y/N</t>
        </is>
      </c>
      <c r="G95" s="3" t="inlineStr">
        <is>
          <t>bool</t>
        </is>
      </c>
      <c r="H95" s="3" t="inlineStr">
        <is>
          <t>guesstimate</t>
        </is>
      </c>
      <c r="I95" s="3" t="inlineStr"/>
      <c r="J95" s="3" t="inlineStr">
        <is>
          <t>generic</t>
        </is>
      </c>
      <c r="K95" s="3" t="inlineStr">
        <is>
          <t>N</t>
        </is>
      </c>
      <c r="L95" s="3" t="inlineStr">
        <is>
          <t>Minor for BBQ; matters for the cafe template</t>
        </is>
      </c>
    </row>
    <row r="96">
      <c r="A96" s="3" t="inlineStr">
        <is>
          <t>sto_franchise</t>
        </is>
      </c>
      <c r="B96" s="3" t="inlineStr">
        <is>
          <t>프랜차이즈 or 개인</t>
        </is>
      </c>
      <c r="C96" s="3" t="inlineStr">
        <is>
          <t>Franchise vs independent</t>
        </is>
      </c>
      <c r="D96" s="3" t="inlineStr">
        <is>
          <t>가게현황</t>
        </is>
      </c>
      <c r="E96" s="3" t="inlineStr">
        <is>
          <t>drv_total_cost</t>
        </is>
      </c>
      <c r="F96" s="3" t="inlineStr">
        <is>
          <t>범주</t>
        </is>
      </c>
      <c r="G96" s="3" t="inlineStr">
        <is>
          <t>category</t>
        </is>
      </c>
      <c r="H96" s="3" t="inlineStr">
        <is>
          <t>public</t>
        </is>
      </c>
      <c r="I96" s="3" t="inlineStr">
        <is>
          <t>S20;D0930</t>
        </is>
      </c>
      <c r="J96" s="3" t="inlineStr">
        <is>
          <t>generic</t>
        </is>
      </c>
      <c r="K96" s="3" t="inlineStr">
        <is>
          <t>N</t>
        </is>
      </c>
      <c r="L96" s="3" t="inlineStr">
        <is>
          <t>Hero = 개인 by scope. Public flag = 지점명 in S20. Scope filter for the district population</t>
        </is>
      </c>
    </row>
    <row r="97">
      <c r="A97" s="3" t="inlineStr">
        <is>
          <t>lbl_survival_months</t>
        </is>
      </c>
      <c r="B97" s="3" t="inlineStr">
        <is>
          <t>생존기간 (개월)</t>
        </is>
      </c>
      <c r="C97" s="3" t="inlineStr">
        <is>
          <t>Survival months</t>
        </is>
      </c>
      <c r="D97" s="3" t="inlineStr">
        <is>
          <t>성과</t>
        </is>
      </c>
      <c r="E97" s="3" t="inlineStr"/>
      <c r="F97" s="3" t="inlineStr">
        <is>
          <t>개월</t>
        </is>
      </c>
      <c r="G97" s="3" t="inlineStr">
        <is>
          <t>number</t>
        </is>
      </c>
      <c r="H97" s="3" t="inlineStr">
        <is>
          <t>public</t>
        </is>
      </c>
      <c r="I97" s="3" t="inlineStr">
        <is>
          <t>S21;S02;S08;S09</t>
        </is>
      </c>
      <c r="J97" s="3" t="inlineStr">
        <is>
          <t>generic</t>
        </is>
      </c>
      <c r="K97" s="3" t="inlineStr">
        <is>
          <t>N</t>
        </is>
      </c>
      <c r="L97" s="3" t="inlineStr">
        <is>
          <t>PRIMARY LABEL. 인허가일자 → 폐업일자, right-censored. District population only (hero is composite)</t>
        </is>
      </c>
    </row>
    <row r="98">
      <c r="A98" s="3" t="inlineStr">
        <is>
          <t>lbl_closed_24m</t>
        </is>
      </c>
      <c r="B98" s="3" t="inlineStr">
        <is>
          <t>24개월 내 폐업</t>
        </is>
      </c>
      <c r="C98" s="3" t="inlineStr">
        <is>
          <t>Closed within 24 months</t>
        </is>
      </c>
      <c r="D98" s="3" t="inlineStr">
        <is>
          <t>성과</t>
        </is>
      </c>
      <c r="E98" s="3" t="inlineStr"/>
      <c r="F98" s="3" t="inlineStr">
        <is>
          <t>Y/N</t>
        </is>
      </c>
      <c r="G98" s="3" t="inlineStr">
        <is>
          <t>bool</t>
        </is>
      </c>
      <c r="H98" s="3" t="inlineStr">
        <is>
          <t>public</t>
        </is>
      </c>
      <c r="I98" s="3" t="inlineStr">
        <is>
          <t>S21;S09</t>
        </is>
      </c>
      <c r="J98" s="3" t="inlineStr">
        <is>
          <t>generic</t>
        </is>
      </c>
      <c r="K98" s="3" t="inlineStr">
        <is>
          <t>N</t>
        </is>
      </c>
      <c r="L98" s="3" t="inlineStr">
        <is>
          <t>Binary label; pipeline column closed_within_24m. Hazard peaks ~24 months (S09)</t>
        </is>
      </c>
    </row>
    <row r="99">
      <c r="A99" s="3" t="inlineStr">
        <is>
          <t>lbl_rel_revenue_tercile</t>
        </is>
      </c>
      <c r="B99" s="3" t="inlineStr">
        <is>
          <t>상대매출 3분위</t>
        </is>
      </c>
      <c r="C99" s="3" t="inlineStr">
        <is>
          <t>Relative revenue tercile</t>
        </is>
      </c>
      <c r="D99" s="3" t="inlineStr">
        <is>
          <t>성과</t>
        </is>
      </c>
      <c r="E99" s="3" t="inlineStr"/>
      <c r="F99" s="3" t="inlineStr">
        <is>
          <t>분위</t>
        </is>
      </c>
      <c r="G99" s="3" t="inlineStr">
        <is>
          <t>category</t>
        </is>
      </c>
      <c r="H99" s="3" t="inlineStr">
        <is>
          <t>derived</t>
        </is>
      </c>
      <c r="I99" s="3" t="inlineStr">
        <is>
          <t>S12;S13;S10</t>
        </is>
      </c>
      <c r="J99" s="3" t="inlineStr">
        <is>
          <t>generic</t>
        </is>
      </c>
      <c r="K99" s="3" t="inlineStr">
        <is>
          <t>N</t>
        </is>
      </c>
      <c r="L99" s="3" t="inlineStr">
        <is>
          <t>SECONDARY LABEL. Store revenue ÷ 상권 한식 per-store benchmark (same quarter) → tercile</t>
        </is>
      </c>
    </row>
    <row r="100">
      <c r="A100" s="3" t="inlineStr">
        <is>
          <t>lbl_revpash</t>
        </is>
      </c>
      <c r="B100" s="3" t="inlineStr">
        <is>
          <t>RevPASH</t>
        </is>
      </c>
      <c r="C100" s="3" t="inlineStr">
        <is>
          <t>Revenue per available seat-hour</t>
        </is>
      </c>
      <c r="D100" s="3" t="inlineStr">
        <is>
          <t>성과</t>
        </is>
      </c>
      <c r="E100" s="3" t="inlineStr"/>
      <c r="F100" s="3" t="inlineStr">
        <is>
          <t>₩/석·시간</t>
        </is>
      </c>
      <c r="G100" s="3" t="inlineStr">
        <is>
          <t>number</t>
        </is>
      </c>
      <c r="H100" s="3" t="inlineStr">
        <is>
          <t>derived</t>
        </is>
      </c>
      <c r="I100" s="3" t="inlineStr">
        <is>
          <t>S07;S47</t>
        </is>
      </c>
      <c r="J100" s="3" t="inlineStr">
        <is>
          <t>generic</t>
        </is>
      </c>
      <c r="K100" s="3" t="inlineStr">
        <is>
          <t>Y</t>
        </is>
      </c>
      <c r="L100" s="3" t="inlineStr">
        <is>
          <t>Operational efficiency; = 매출 ÷ (좌석 × 영업시간 × 영업일)</t>
        </is>
      </c>
    </row>
    <row r="101">
      <c r="A101" s="3" t="inlineStr">
        <is>
          <t>lbl_review_signal</t>
        </is>
      </c>
      <c r="B101" s="3" t="inlineStr">
        <is>
          <t>리뷰 속도·평점 분산 (선행지표)</t>
        </is>
      </c>
      <c r="C101" s="3" t="inlineStr">
        <is>
          <t>Review velocity &amp; rating variance</t>
        </is>
      </c>
      <c r="D101" s="3" t="inlineStr">
        <is>
          <t>성과</t>
        </is>
      </c>
      <c r="E101" s="3" t="inlineStr"/>
      <c r="F101" s="3" t="inlineStr">
        <is>
          <t>건/월; 분산</t>
        </is>
      </c>
      <c r="G101" s="3" t="inlineStr">
        <is>
          <t>number</t>
        </is>
      </c>
      <c r="H101" s="3" t="inlineStr">
        <is>
          <t>interview_later</t>
        </is>
      </c>
      <c r="I101" s="3" t="inlineStr">
        <is>
          <t>S06</t>
        </is>
      </c>
      <c r="J101" s="3" t="inlineStr">
        <is>
          <t>generic</t>
        </is>
      </c>
      <c r="K101" s="3" t="inlineStr">
        <is>
          <t>N</t>
        </is>
      </c>
      <c r="L101" s="3" t="inlineStr">
        <is>
          <t>Leading indicator, not a label (Li et al.)</t>
        </is>
      </c>
    </row>
  </sheetData>
  <autoFilter ref="A1:L10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11" customWidth="1" min="3" max="3"/>
    <col width="12" customWidth="1" min="4" max="4"/>
    <col width="11" customWidth="1" min="5" max="5"/>
    <col width="11" customWidth="1" min="6" max="6"/>
    <col width="13" customWidth="1" min="7" max="7"/>
    <col width="62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</cols>
  <sheetData>
    <row r="1">
      <c r="A1" s="8" t="inlineStr">
        <is>
          <t>criterion_id</t>
        </is>
      </c>
      <c r="B1" s="8" t="inlineStr">
        <is>
          <t>name_ko</t>
        </is>
      </c>
      <c r="C1" s="8" t="inlineStr">
        <is>
          <t>low</t>
        </is>
      </c>
      <c r="D1" s="8" t="inlineStr">
        <is>
          <t>base</t>
        </is>
      </c>
      <c r="E1" s="8" t="inlineStr">
        <is>
          <t>high</t>
        </is>
      </c>
      <c r="F1" s="8" t="inlineStr">
        <is>
          <t>unit</t>
        </is>
      </c>
      <c r="G1" s="8" t="inlineStr">
        <is>
          <t>method</t>
        </is>
      </c>
      <c r="H1" s="8" t="inlineStr">
        <is>
          <t>reasoning_chain</t>
        </is>
      </c>
      <c r="I1" s="8" t="inlineStr">
        <is>
          <t>source_id</t>
        </is>
      </c>
      <c r="J1" s="8" t="inlineStr">
        <is>
          <t>confidence</t>
        </is>
      </c>
      <c r="K1" s="8" t="inlineStr">
        <is>
          <t>filled_by</t>
        </is>
      </c>
      <c r="L1" s="8" t="inlineStr">
        <is>
          <t>reviewed_by</t>
        </is>
      </c>
      <c r="M1" s="8" t="inlineStr">
        <is>
          <t>illustrative</t>
        </is>
      </c>
    </row>
    <row r="2">
      <c r="A2" s="10" t="inlineStr">
        <is>
          <t>drv_dwell_time</t>
        </is>
      </c>
      <c r="B2" s="3" t="inlineStr">
        <is>
          <t>체류시간</t>
        </is>
      </c>
      <c r="C2" s="11" t="n">
        <v>75</v>
      </c>
      <c r="D2" s="11" t="n">
        <v>105</v>
      </c>
      <c r="E2" s="11" t="n">
        <v>140</v>
      </c>
      <c r="F2" s="10" t="inlineStr">
        <is>
          <t>분</t>
        </is>
      </c>
      <c r="G2" s="10" t="inlineStr">
        <is>
          <t>guesstimate</t>
        </is>
      </c>
      <c r="H2" s="3" t="inlineStr">
        <is>
          <t>국내 측정 없음. 고기 무한리필 체인 이용시간 상한 100~120분(S71), 미국 캐주얼 평균 47분(S72) 사이에서 굽기·음주로 길다고 보고 105분 유지</t>
        </is>
      </c>
      <c r="I2" s="10" t="inlineStr">
        <is>
          <t>S71;S72;S73</t>
        </is>
      </c>
      <c r="J2" s="10" t="inlineStr">
        <is>
          <t>L</t>
        </is>
      </c>
      <c r="K2" s="10" t="inlineStr">
        <is>
          <t>AI</t>
        </is>
      </c>
      <c r="L2" s="10" t="inlineStr"/>
      <c r="M2" s="6" t="inlineStr">
        <is>
          <t>ILLUSTRATIVE 예시 추정치 (검토 필요)</t>
        </is>
      </c>
    </row>
    <row r="3">
      <c r="A3" s="10" t="inlineStr">
        <is>
          <t>drv_balk_rate</t>
        </is>
      </c>
      <c r="B3" s="3" t="inlineStr">
        <is>
          <t>대기이탈률</t>
        </is>
      </c>
      <c r="C3" s="11" t="n">
        <v>0.003</v>
      </c>
      <c r="D3" s="11" t="n">
        <v>0.01</v>
      </c>
      <c r="E3" s="11" t="n">
        <v>0.05</v>
      </c>
      <c r="F3" s="10" t="inlineStr">
        <is>
          <t>비율</t>
        </is>
      </c>
      <c r="G3" s="10" t="inlineStr">
        <is>
          <t>guesstimate</t>
        </is>
      </c>
      <c r="H3" s="3" t="inlineStr">
        <is>
          <t>시뮬레이션 기준 달의 대기 이탈 손님 비율 ≈1% (python -m sim.calibrate; 인내 25분, 19~21시 피크 가정 반영); 5%는 피크 가정 상한</t>
        </is>
      </c>
      <c r="I3" s="10" t="inlineStr"/>
      <c r="J3" s="10" t="inlineStr">
        <is>
          <t>L</t>
        </is>
      </c>
      <c r="K3" s="10" t="inlineStr">
        <is>
          <t>AI</t>
        </is>
      </c>
      <c r="L3" s="10" t="inlineStr"/>
      <c r="M3" s="6" t="inlineStr">
        <is>
          <t>ILLUSTRATIVE 예시 추정치 (검토 필요)</t>
        </is>
      </c>
    </row>
    <row r="4">
      <c r="A4" s="10" t="inlineStr">
        <is>
          <t>drv_open_hours</t>
        </is>
      </c>
      <c r="B4" s="3" t="inlineStr">
        <is>
          <t>영업시간</t>
        </is>
      </c>
      <c r="C4" s="11" t="n">
        <v>6</v>
      </c>
      <c r="D4" s="11" t="n">
        <v>7</v>
      </c>
      <c r="E4" s="11" t="n">
        <v>9</v>
      </c>
      <c r="F4" s="10" t="inlineStr">
        <is>
          <t>시간/일</t>
        </is>
      </c>
      <c r="G4" s="10" t="inlineStr">
        <is>
          <t>guesstimate</t>
        </is>
      </c>
      <c r="H4" s="3" t="inlineStr">
        <is>
          <t>17:00–24:00 = 7h; 대학로 한식 매출 63%가 17–24시(S12); 저녁 전용 삼겹살집 6h 사례(S35)</t>
        </is>
      </c>
      <c r="I4" s="10" t="inlineStr">
        <is>
          <t>S12;S35</t>
        </is>
      </c>
      <c r="J4" s="10" t="inlineStr">
        <is>
          <t>M</t>
        </is>
      </c>
      <c r="K4" s="10" t="inlineStr">
        <is>
          <t>AI</t>
        </is>
      </c>
      <c r="L4" s="10" t="inlineStr"/>
      <c r="M4" s="6" t="inlineStr">
        <is>
          <t>ILLUSTRATIVE 예시 추정치 (검토 필요)</t>
        </is>
      </c>
    </row>
    <row r="5">
      <c r="A5" s="10" t="inlineStr">
        <is>
          <t>drv_rent</t>
        </is>
      </c>
      <c r="B5" s="3" t="inlineStr">
        <is>
          <t>임차료</t>
        </is>
      </c>
      <c r="C5" s="12" t="n">
        <v>3000000</v>
      </c>
      <c r="D5" s="12" t="n">
        <v>4700000</v>
      </c>
      <c r="E5" s="12" t="n">
        <v>5800000</v>
      </c>
      <c r="F5" s="10" t="inlineStr">
        <is>
          <t>₩/월</t>
        </is>
      </c>
      <c r="G5" s="10" t="inlineStr">
        <is>
          <t>public</t>
        </is>
      </c>
      <c r="H5" s="3" t="inlineStr">
        <is>
          <t>R-ONE 혜화동 소규모 상가 1층 ₩60,033/㎡/월(2026Q2, 보증금 환산 포함) × 82.64㎡(25평) ÷ 1.0623(보증금 = 월세 10배 가정, 전환율 7.481%) ≈ ₩467만 현금 월세</t>
        </is>
      </c>
      <c r="I5" s="10" t="inlineStr">
        <is>
          <t>S52;S53;S55</t>
        </is>
      </c>
      <c r="J5" s="10" t="inlineStr">
        <is>
          <t>M</t>
        </is>
      </c>
      <c r="K5" s="10" t="inlineStr">
        <is>
          <t>AI</t>
        </is>
      </c>
      <c r="L5" s="10" t="inlineStr"/>
      <c r="M5" s="3" t="inlineStr">
        <is>
          <t>공공데이터/공식 수치</t>
        </is>
      </c>
    </row>
    <row r="6">
      <c r="A6" s="10" t="inlineStr">
        <is>
          <t>prd_meat_origin</t>
        </is>
      </c>
      <c r="B6" s="3" t="inlineStr">
        <is>
          <t>고기 원산지</t>
        </is>
      </c>
      <c r="C6" s="13" t="inlineStr">
        <is>
          <t>수입</t>
        </is>
      </c>
      <c r="D6" s="13" t="inlineStr">
        <is>
          <t>국내산</t>
        </is>
      </c>
      <c r="E6" s="13" t="inlineStr">
        <is>
          <t>국내산</t>
        </is>
      </c>
      <c r="F6" s="10" t="inlineStr">
        <is>
          <t>범주</t>
        </is>
      </c>
      <c r="G6" s="10" t="inlineStr">
        <is>
          <t>guesstimate</t>
        </is>
      </c>
      <c r="H6" s="3" t="inlineStr">
        <is>
          <t>대학가 독립점 국내산 삼겹살 가정; 원산지 표시는 인터뷰로 확인</t>
        </is>
      </c>
      <c r="I6" s="10" t="inlineStr"/>
      <c r="J6" s="10" t="inlineStr">
        <is>
          <t>L</t>
        </is>
      </c>
      <c r="K6" s="10" t="inlineStr">
        <is>
          <t>AI</t>
        </is>
      </c>
      <c r="L6" s="10" t="inlineStr"/>
      <c r="M6" s="6" t="inlineStr">
        <is>
          <t>ILLUSTRATIVE 예시 추정치 (검토 필요)</t>
        </is>
      </c>
    </row>
    <row r="7">
      <c r="A7" s="10" t="inlineStr">
        <is>
          <t>prd_cut_style</t>
        </is>
      </c>
      <c r="B7" s="3" t="inlineStr">
        <is>
          <t>삼겹살 형태 (대패/냉삼/숙성/통삼)</t>
        </is>
      </c>
      <c r="C7" s="13" t="inlineStr">
        <is>
          <t>냉삼/대패</t>
        </is>
      </c>
      <c r="D7" s="13" t="inlineStr">
        <is>
          <t>일반 생삼겹</t>
        </is>
      </c>
      <c r="E7" s="13" t="inlineStr">
        <is>
          <t>숙성/통삼</t>
        </is>
      </c>
      <c r="F7" s="10" t="inlineStr">
        <is>
          <t>범주</t>
        </is>
      </c>
      <c r="G7" s="10" t="inlineStr">
        <is>
          <t>guesstimate</t>
        </is>
      </c>
      <c r="H7" s="3" t="inlineStr">
        <is>
          <t>대학가 저가~중가 독립점의 일반형 가정</t>
        </is>
      </c>
      <c r="I7" s="10" t="inlineStr"/>
      <c r="J7" s="10" t="inlineStr">
        <is>
          <t>L</t>
        </is>
      </c>
      <c r="K7" s="10" t="inlineStr">
        <is>
          <t>AI</t>
        </is>
      </c>
      <c r="L7" s="10" t="inlineStr"/>
      <c r="M7" s="6" t="inlineStr">
        <is>
          <t>ILLUSTRATIVE 예시 추정치 (검토 필요)</t>
        </is>
      </c>
    </row>
    <row r="8">
      <c r="A8" s="10" t="inlineStr">
        <is>
          <t>prd_chobeol</t>
        </is>
      </c>
      <c r="B8" s="3" t="inlineStr">
        <is>
          <t>초벌 여부</t>
        </is>
      </c>
      <c r="C8" s="13" t="inlineStr">
        <is>
          <t>N</t>
        </is>
      </c>
      <c r="D8" s="13" t="inlineStr">
        <is>
          <t>N</t>
        </is>
      </c>
      <c r="E8" s="13" t="inlineStr">
        <is>
          <t>Y</t>
        </is>
      </c>
      <c r="F8" s="10" t="inlineStr">
        <is>
          <t>Y/N</t>
        </is>
      </c>
      <c r="G8" s="10" t="inlineStr">
        <is>
          <t>guesstimate</t>
        </is>
      </c>
      <c r="H8" s="3" t="inlineStr">
        <is>
          <t>생고기 자가 굽기 가정 (초벌은 차별화 옵션)</t>
        </is>
      </c>
      <c r="I8" s="10" t="inlineStr"/>
      <c r="J8" s="10" t="inlineStr">
        <is>
          <t>L</t>
        </is>
      </c>
      <c r="K8" s="10" t="inlineStr">
        <is>
          <t>AI</t>
        </is>
      </c>
      <c r="L8" s="10" t="inlineStr"/>
      <c r="M8" s="6" t="inlineStr">
        <is>
          <t>ILLUSTRATIVE 예시 추정치 (검토 필요)</t>
        </is>
      </c>
    </row>
    <row r="9">
      <c r="A9" s="10" t="inlineStr">
        <is>
          <t>prd_signature_side</t>
        </is>
      </c>
      <c r="B9" s="3" t="inlineStr">
        <is>
          <t>특별한 특징 (미나리·고사리 등)</t>
        </is>
      </c>
      <c r="C9" s="13" t="inlineStr">
        <is>
          <t>없음</t>
        </is>
      </c>
      <c r="D9" s="13" t="inlineStr">
        <is>
          <t>없음</t>
        </is>
      </c>
      <c r="E9" s="13" t="inlineStr">
        <is>
          <t>미나리</t>
        </is>
      </c>
      <c r="F9" s="10" t="inlineStr">
        <is>
          <t>범주</t>
        </is>
      </c>
      <c r="G9" s="10" t="inlineStr">
        <is>
          <t>guesstimate</t>
        </is>
      </c>
      <c r="H9" s="3" t="inlineStr">
        <is>
          <t>composite 기본형 = 시그니처 없음</t>
        </is>
      </c>
      <c r="I9" s="10" t="inlineStr"/>
      <c r="J9" s="10" t="inlineStr">
        <is>
          <t>L</t>
        </is>
      </c>
      <c r="K9" s="10" t="inlineStr">
        <is>
          <t>AI</t>
        </is>
      </c>
      <c r="L9" s="10" t="inlineStr"/>
      <c r="M9" s="6" t="inlineStr">
        <is>
          <t>ILLUSTRATIVE 예시 추정치 (검토 필요)</t>
        </is>
      </c>
    </row>
    <row r="10">
      <c r="A10" s="10" t="inlineStr">
        <is>
          <t>prd_food_quality</t>
        </is>
      </c>
      <c r="B10" s="3" t="inlineStr">
        <is>
          <t>음식의 상태</t>
        </is>
      </c>
      <c r="C10" s="14" t="n"/>
      <c r="D10" s="14" t="n"/>
      <c r="E10" s="14" t="n"/>
      <c r="F10" s="10" t="inlineStr">
        <is>
          <t>점수(1-5)</t>
        </is>
      </c>
      <c r="G10" s="10" t="inlineStr">
        <is>
          <t>interview_later</t>
        </is>
      </c>
      <c r="H10" s="3" t="inlineStr">
        <is>
          <t>인터뷰/방문 평가로 채움</t>
        </is>
      </c>
      <c r="I10" s="10" t="inlineStr">
        <is>
          <t>S03</t>
        </is>
      </c>
      <c r="J10" s="10" t="inlineStr">
        <is>
          <t>L</t>
        </is>
      </c>
      <c r="K10" s="10" t="inlineStr"/>
      <c r="L10" s="10" t="inlineStr"/>
      <c r="M10" s="3" t="inlineStr">
        <is>
          <t>대기 (파이프라인 또는 인터뷰로 채움)</t>
        </is>
      </c>
    </row>
    <row r="11">
      <c r="A11" s="10" t="inlineStr">
        <is>
          <t>prd_meat_price</t>
        </is>
      </c>
      <c r="B11" s="3" t="inlineStr">
        <is>
          <t>고기 판매가</t>
        </is>
      </c>
      <c r="C11" s="15" t="n">
        <v>17000</v>
      </c>
      <c r="D11" s="15" t="n">
        <v>19000</v>
      </c>
      <c r="E11" s="15" t="n">
        <v>21321</v>
      </c>
      <c r="F11" s="10" t="inlineStr">
        <is>
          <t>₩/인분</t>
        </is>
      </c>
      <c r="G11" s="10" t="inlineStr">
        <is>
          <t>guesstimate</t>
        </is>
      </c>
      <c r="H11" s="3" t="inlineStr">
        <is>
          <t>서울 평균 200g ₩21,321(참가격 2026-06) ~ 골목 ₩17,000(마포 2026-03) → 대학가 독립점 ₩19,000</t>
        </is>
      </c>
      <c r="I11" s="10" t="inlineStr">
        <is>
          <t>S23;S25</t>
        </is>
      </c>
      <c r="J11" s="10" t="inlineStr">
        <is>
          <t>M</t>
        </is>
      </c>
      <c r="K11" s="10" t="inlineStr">
        <is>
          <t>AI</t>
        </is>
      </c>
      <c r="L11" s="10" t="inlineStr"/>
      <c r="M11" s="6" t="inlineStr">
        <is>
          <t>ILLUSTRATIVE 예시 추정치 (검토 필요)</t>
        </is>
      </c>
    </row>
    <row r="12">
      <c r="A12" s="10" t="inlineStr">
        <is>
          <t>prd_portion_grams</t>
        </is>
      </c>
      <c r="B12" s="3" t="inlineStr">
        <is>
          <t>1인분 중량</t>
        </is>
      </c>
      <c r="C12" s="11" t="n">
        <v>150</v>
      </c>
      <c r="D12" s="11" t="n">
        <v>200</v>
      </c>
      <c r="E12" s="11" t="n">
        <v>200</v>
      </c>
      <c r="F12" s="10" t="inlineStr">
        <is>
          <t>g</t>
        </is>
      </c>
      <c r="G12" s="10" t="inlineStr">
        <is>
          <t>guesstimate</t>
        </is>
      </c>
      <c r="H12" s="3" t="inlineStr">
        <is>
          <t>참가격 기준 200g; 골목점은 150–180g도 있음</t>
        </is>
      </c>
      <c r="I12" s="10" t="inlineStr">
        <is>
          <t>S23</t>
        </is>
      </c>
      <c r="J12" s="10" t="inlineStr">
        <is>
          <t>M</t>
        </is>
      </c>
      <c r="K12" s="10" t="inlineStr">
        <is>
          <t>AI</t>
        </is>
      </c>
      <c r="L12" s="10" t="inlineStr"/>
      <c r="M12" s="6" t="inlineStr">
        <is>
          <t>ILLUSTRATIVE 예시 추정치 (검토 필요)</t>
        </is>
      </c>
    </row>
    <row r="13">
      <c r="A13" s="10" t="inlineStr">
        <is>
          <t>prd_portions_per_cover</t>
        </is>
      </c>
      <c r="B13" s="3" t="inlineStr">
        <is>
          <t>1인당 고기 인분</t>
        </is>
      </c>
      <c r="C13" s="11" t="n">
        <v>0.8</v>
      </c>
      <c r="D13" s="11" t="n">
        <v>1</v>
      </c>
      <c r="E13" s="11" t="n">
        <v>1.5</v>
      </c>
      <c r="F13" s="10" t="inlineStr">
        <is>
          <t>인분/인</t>
        </is>
      </c>
      <c r="G13" s="10" t="inlineStr">
        <is>
          <t>guesstimate</t>
        </is>
      </c>
      <c r="H13" s="3" t="inlineStr">
        <is>
          <t>2인 2인분 + 소주 → 1인 1인분 (쿠키뉴스 예시); 성인 남성 4명 6~12인분 일화(S74)로 상한 1.5</t>
        </is>
      </c>
      <c r="I13" s="10" t="inlineStr">
        <is>
          <t>S28;S74</t>
        </is>
      </c>
      <c r="J13" s="10" t="inlineStr">
        <is>
          <t>L</t>
        </is>
      </c>
      <c r="K13" s="10" t="inlineStr">
        <is>
          <t>AI</t>
        </is>
      </c>
      <c r="L13" s="10" t="inlineStr"/>
      <c r="M13" s="6" t="inlineStr">
        <is>
          <t>ILLUSTRATIVE 예시 추정치 (검토 필요)</t>
        </is>
      </c>
    </row>
    <row r="14">
      <c r="A14" s="10" t="inlineStr">
        <is>
          <t>prd_alcohol_price</t>
        </is>
      </c>
      <c r="B14" s="3" t="inlineStr">
        <is>
          <t>주류 판매가 (소주)</t>
        </is>
      </c>
      <c r="C14" s="15" t="n">
        <v>4000</v>
      </c>
      <c r="D14" s="15" t="n">
        <v>5000</v>
      </c>
      <c r="E14" s="15" t="n">
        <v>6000</v>
      </c>
      <c r="F14" s="10" t="inlineStr">
        <is>
          <t>₩/병</t>
        </is>
      </c>
      <c r="G14" s="10" t="inlineStr">
        <is>
          <t>guesstimate</t>
        </is>
      </c>
      <c r="H14" s="3" t="inlineStr">
        <is>
          <t>마포 2026 소주 ₩4,000–6,000의 중간</t>
        </is>
      </c>
      <c r="I14" s="10" t="inlineStr">
        <is>
          <t>S25;S26</t>
        </is>
      </c>
      <c r="J14" s="10" t="inlineStr">
        <is>
          <t>M</t>
        </is>
      </c>
      <c r="K14" s="10" t="inlineStr">
        <is>
          <t>AI</t>
        </is>
      </c>
      <c r="L14" s="10" t="inlineStr"/>
      <c r="M14" s="6" t="inlineStr">
        <is>
          <t>ILLUSTRATIVE 예시 추정치 (검토 필요)</t>
        </is>
      </c>
    </row>
    <row r="15">
      <c r="A15" s="10" t="inlineStr">
        <is>
          <t>prd_alcohol_per_cover</t>
        </is>
      </c>
      <c r="B15" s="3" t="inlineStr">
        <is>
          <t>1인당 주류 병수</t>
        </is>
      </c>
      <c r="C15" s="11" t="n">
        <v>0.6</v>
      </c>
      <c r="D15" s="11" t="n">
        <v>0.9</v>
      </c>
      <c r="E15" s="11" t="n">
        <v>1.2</v>
      </c>
      <c r="F15" s="10" t="inlineStr">
        <is>
          <t>병/인</t>
        </is>
      </c>
      <c r="G15" s="10" t="inlineStr">
        <is>
          <t>guesstimate</t>
        </is>
      </c>
      <c r="H15" s="3" t="inlineStr">
        <is>
          <t>음주자 1회 평균 소주 6.1잔(50ml) ≈ 0.85병(S62); 비음주 손님과 소맥을 감안해 0.9병</t>
        </is>
      </c>
      <c r="I15" s="10" t="inlineStr">
        <is>
          <t>S62</t>
        </is>
      </c>
      <c r="J15" s="10" t="inlineStr">
        <is>
          <t>L</t>
        </is>
      </c>
      <c r="K15" s="10" t="inlineStr">
        <is>
          <t>AI</t>
        </is>
      </c>
      <c r="L15" s="10" t="inlineStr"/>
      <c r="M15" s="6" t="inlineStr">
        <is>
          <t>ILLUSTRATIVE 예시 추정치 (검토 필요)</t>
        </is>
      </c>
    </row>
    <row r="16">
      <c r="A16" s="10" t="inlineStr">
        <is>
          <t>prd_side_spend_per_cover</t>
        </is>
      </c>
      <c r="B16" s="3" t="inlineStr">
        <is>
          <t>1인당 식사·사이드 매출</t>
        </is>
      </c>
      <c r="C16" s="15" t="n">
        <v>2000</v>
      </c>
      <c r="D16" s="15" t="n">
        <v>3500</v>
      </c>
      <c r="E16" s="15" t="n">
        <v>5000</v>
      </c>
      <c r="F16" s="10" t="inlineStr">
        <is>
          <t>₩/인</t>
        </is>
      </c>
      <c r="G16" s="10" t="inlineStr">
        <is>
          <t>guesstimate</t>
        </is>
      </c>
      <c r="H16" s="3" t="inlineStr">
        <is>
          <t>식사(냉면·된장 ₩7,000) × 주문률 0.5 = ₩3,500; 식사 비중 15%(블로그) 대조</t>
        </is>
      </c>
      <c r="I16" s="10" t="inlineStr">
        <is>
          <t>S30</t>
        </is>
      </c>
      <c r="J16" s="10" t="inlineStr">
        <is>
          <t>L</t>
        </is>
      </c>
      <c r="K16" s="10" t="inlineStr">
        <is>
          <t>AI</t>
        </is>
      </c>
      <c r="L16" s="10" t="inlineStr"/>
      <c r="M16" s="6" t="inlineStr">
        <is>
          <t>ILLUSTRATIVE 예시 추정치 (검토 필요)</t>
        </is>
      </c>
    </row>
    <row r="17">
      <c r="A17" s="10" t="inlineStr">
        <is>
          <t>prd_menu_count</t>
        </is>
      </c>
      <c r="B17" s="3" t="inlineStr">
        <is>
          <t>메뉴 개수</t>
        </is>
      </c>
      <c r="C17" s="11" t="n">
        <v>6</v>
      </c>
      <c r="D17" s="11" t="n">
        <v>8</v>
      </c>
      <c r="E17" s="11" t="n">
        <v>12</v>
      </c>
      <c r="F17" s="10" t="inlineStr">
        <is>
          <t>개</t>
        </is>
      </c>
      <c r="G17" s="10" t="inlineStr">
        <is>
          <t>guesstimate</t>
        </is>
      </c>
      <c r="H17" s="3" t="inlineStr">
        <is>
          <t>고기 3–4종 + 식사 2–3종 + 사이드 1–2종 (출처 없음)</t>
        </is>
      </c>
      <c r="I17" s="10" t="inlineStr"/>
      <c r="J17" s="10" t="inlineStr">
        <is>
          <t>L</t>
        </is>
      </c>
      <c r="K17" s="10" t="inlineStr">
        <is>
          <t>AI</t>
        </is>
      </c>
      <c r="L17" s="10" t="inlineStr"/>
      <c r="M17" s="6" t="inlineStr">
        <is>
          <t>ILLUSTRATIVE 예시 추정치 (검토 필요)</t>
        </is>
      </c>
    </row>
    <row r="18">
      <c r="A18" s="10" t="inlineStr">
        <is>
          <t>svc_staff_grilling</t>
        </is>
      </c>
      <c r="B18" s="3" t="inlineStr">
        <is>
          <t>직원이 구워주는 서비스</t>
        </is>
      </c>
      <c r="C18" s="13" t="inlineStr">
        <is>
          <t>N</t>
        </is>
      </c>
      <c r="D18" s="13" t="inlineStr">
        <is>
          <t>N</t>
        </is>
      </c>
      <c r="E18" s="13" t="inlineStr">
        <is>
          <t>Y</t>
        </is>
      </c>
      <c r="F18" s="10" t="inlineStr">
        <is>
          <t>Y/N</t>
        </is>
      </c>
      <c r="G18" s="10" t="inlineStr">
        <is>
          <t>guesstimate</t>
        </is>
      </c>
      <c r="H18" s="3" t="inlineStr">
        <is>
          <t>대학가 저가 독립점은 자가 굽기 가정</t>
        </is>
      </c>
      <c r="I18" s="10" t="inlineStr"/>
      <c r="J18" s="10" t="inlineStr">
        <is>
          <t>L</t>
        </is>
      </c>
      <c r="K18" s="10" t="inlineStr">
        <is>
          <t>AI</t>
        </is>
      </c>
      <c r="L18" s="10" t="inlineStr"/>
      <c r="M18" s="6" t="inlineStr">
        <is>
          <t>ILLUSTRATIVE 예시 추정치 (검토 필요)</t>
        </is>
      </c>
    </row>
    <row r="19">
      <c r="A19" s="10" t="inlineStr">
        <is>
          <t>svc_banchan_count</t>
        </is>
      </c>
      <c r="B19" s="3" t="inlineStr">
        <is>
          <t>반찬 가짓수</t>
        </is>
      </c>
      <c r="C19" s="11" t="n">
        <v>3</v>
      </c>
      <c r="D19" s="11" t="n">
        <v>5</v>
      </c>
      <c r="E19" s="11" t="n">
        <v>8</v>
      </c>
      <c r="F19" s="10" t="inlineStr">
        <is>
          <t>가지</t>
        </is>
      </c>
      <c r="G19" s="10" t="inlineStr">
        <is>
          <t>guesstimate</t>
        </is>
      </c>
      <c r="H19" s="3" t="inlineStr">
        <is>
          <t>쌈채소·파절이·김치·쌈장·계란찜 가정</t>
        </is>
      </c>
      <c r="I19" s="10" t="inlineStr"/>
      <c r="J19" s="10" t="inlineStr">
        <is>
          <t>L</t>
        </is>
      </c>
      <c r="K19" s="10" t="inlineStr">
        <is>
          <t>AI</t>
        </is>
      </c>
      <c r="L19" s="10" t="inlineStr"/>
      <c r="M19" s="6" t="inlineStr">
        <is>
          <t>ILLUSTRATIVE 예시 추정치 (검토 필요)</t>
        </is>
      </c>
    </row>
    <row r="20">
      <c r="A20" s="10" t="inlineStr">
        <is>
          <t>cst_banchan_cost_per_cover</t>
        </is>
      </c>
      <c r="B20" s="3" t="inlineStr">
        <is>
          <t>반찬·쌈채소 원가</t>
        </is>
      </c>
      <c r="C20" s="11" t="n">
        <v>800</v>
      </c>
      <c r="D20" s="15" t="n">
        <v>1200</v>
      </c>
      <c r="E20" s="15" t="n">
        <v>1800</v>
      </c>
      <c r="F20" s="10" t="inlineStr">
        <is>
          <t>₩/인</t>
        </is>
      </c>
      <c r="G20" s="10" t="inlineStr">
        <is>
          <t>guesstimate</t>
        </is>
      </c>
      <c r="H20" s="3" t="inlineStr">
        <is>
          <t>출처 없음. 처음에는 KREI 식재료 37%에서 옛 고기 원가(₩6,500)를 뺀 잔여로 역산한 값이라 고기 원가 교체 후 근거가 없음; 사장님 인터뷰로 확인</t>
        </is>
      </c>
      <c r="I20" s="10" t="inlineStr"/>
      <c r="J20" s="10" t="inlineStr">
        <is>
          <t>L</t>
        </is>
      </c>
      <c r="K20" s="10" t="inlineStr">
        <is>
          <t>AI</t>
        </is>
      </c>
      <c r="L20" s="10" t="inlineStr"/>
      <c r="M20" s="6" t="inlineStr">
        <is>
          <t>ILLUSTRATIVE 예시 추정치 (검토 필요)</t>
        </is>
      </c>
    </row>
    <row r="21">
      <c r="A21" s="10" t="inlineStr">
        <is>
          <t>svc_qr_kiosk</t>
        </is>
      </c>
      <c r="B21" s="3" t="inlineStr">
        <is>
          <t>QR·키오스크 (미니)</t>
        </is>
      </c>
      <c r="C21" s="13" t="inlineStr">
        <is>
          <t>N</t>
        </is>
      </c>
      <c r="D21" s="13" t="inlineStr">
        <is>
          <t>N</t>
        </is>
      </c>
      <c r="E21" s="13" t="inlineStr">
        <is>
          <t>N</t>
        </is>
      </c>
      <c r="F21" s="10" t="inlineStr">
        <is>
          <t>Y/N</t>
        </is>
      </c>
      <c r="G21" s="10" t="inlineStr">
        <is>
          <t>guesstimate</t>
        </is>
      </c>
      <c r="H21" s="3" t="inlineStr">
        <is>
          <t>미도입 정의상 N (기술 도입은 이번 과제 범위 밖)</t>
        </is>
      </c>
      <c r="I21" s="10" t="inlineStr">
        <is>
          <t>D0930</t>
        </is>
      </c>
      <c r="J21" s="10" t="inlineStr">
        <is>
          <t>H</t>
        </is>
      </c>
      <c r="K21" s="10" t="inlineStr">
        <is>
          <t>AI</t>
        </is>
      </c>
      <c r="L21" s="10" t="inlineStr"/>
      <c r="M21" s="6" t="inlineStr">
        <is>
          <t>ILLUSTRATIVE 예시 추정치 (검토 필요)</t>
        </is>
      </c>
    </row>
    <row r="22">
      <c r="A22" s="10" t="inlineStr">
        <is>
          <t>svc_corkage</t>
        </is>
      </c>
      <c r="B22" s="3" t="inlineStr">
        <is>
          <t>콜키지</t>
        </is>
      </c>
      <c r="C22" s="13" t="inlineStr">
        <is>
          <t>N</t>
        </is>
      </c>
      <c r="D22" s="13" t="inlineStr">
        <is>
          <t>N</t>
        </is>
      </c>
      <c r="E22" s="13" t="inlineStr">
        <is>
          <t>Y</t>
        </is>
      </c>
      <c r="F22" s="10" t="inlineStr">
        <is>
          <t>Y/N</t>
        </is>
      </c>
      <c r="G22" s="10" t="inlineStr">
        <is>
          <t>guesstimate</t>
        </is>
      </c>
      <c r="H22" s="3" t="inlineStr">
        <is>
          <t>대학가 소주 중심 매장은 콜키지 없음 가정</t>
        </is>
      </c>
      <c r="I22" s="10" t="inlineStr"/>
      <c r="J22" s="10" t="inlineStr">
        <is>
          <t>L</t>
        </is>
      </c>
      <c r="K22" s="10" t="inlineStr">
        <is>
          <t>AI</t>
        </is>
      </c>
      <c r="L22" s="10" t="inlineStr"/>
      <c r="M22" s="6" t="inlineStr">
        <is>
          <t>ILLUSTRATIVE 예시 추정치 (검토 필요)</t>
        </is>
      </c>
    </row>
    <row r="23">
      <c r="A23" s="10" t="inlineStr">
        <is>
          <t>svc_cleanliness</t>
        </is>
      </c>
      <c r="B23" s="3" t="inlineStr">
        <is>
          <t>청결관리</t>
        </is>
      </c>
      <c r="C23" s="14" t="n"/>
      <c r="D23" s="14" t="n"/>
      <c r="E23" s="14" t="n"/>
      <c r="F23" s="10" t="inlineStr">
        <is>
          <t>점수(1-5)</t>
        </is>
      </c>
      <c r="G23" s="10" t="inlineStr">
        <is>
          <t>interview_later</t>
        </is>
      </c>
      <c r="H23" s="3" t="inlineStr">
        <is>
          <t>방문 점검/인터뷰로 채움</t>
        </is>
      </c>
      <c r="I23" s="10" t="inlineStr"/>
      <c r="J23" s="10" t="inlineStr">
        <is>
          <t>L</t>
        </is>
      </c>
      <c r="K23" s="10" t="inlineStr"/>
      <c r="L23" s="10" t="inlineStr"/>
      <c r="M23" s="3" t="inlineStr">
        <is>
          <t>대기 (파이프라인 또는 인터뷰로 채움)</t>
        </is>
      </c>
    </row>
    <row r="24">
      <c r="A24" s="10" t="inlineStr">
        <is>
          <t>mkt_review_count</t>
        </is>
      </c>
      <c r="B24" s="3" t="inlineStr">
        <is>
          <t>리뷰수</t>
        </is>
      </c>
      <c r="C24" s="14" t="n"/>
      <c r="D24" s="14" t="n"/>
      <c r="E24" s="14" t="n"/>
      <c r="F24" s="10" t="inlineStr">
        <is>
          <t>건</t>
        </is>
      </c>
      <c r="G24" s="10" t="inlineStr">
        <is>
          <t>interview_later</t>
        </is>
      </c>
      <c r="H24" s="3" t="inlineStr">
        <is>
          <t>composite라 실리뷰 없음; 비교 매장 수기 입력만 (스크래핑 금지)</t>
        </is>
      </c>
      <c r="I24" s="10" t="inlineStr">
        <is>
          <t>S03;S06</t>
        </is>
      </c>
      <c r="J24" s="10" t="inlineStr">
        <is>
          <t>L</t>
        </is>
      </c>
      <c r="K24" s="10" t="inlineStr"/>
      <c r="L24" s="10" t="inlineStr"/>
      <c r="M24" s="3" t="inlineStr">
        <is>
          <t>대기 (파이프라인 또는 인터뷰로 채움)</t>
        </is>
      </c>
    </row>
    <row r="25">
      <c r="A25" s="10" t="inlineStr">
        <is>
          <t>mkt_review_rating</t>
        </is>
      </c>
      <c r="B25" s="3" t="inlineStr">
        <is>
          <t>리뷰 평점</t>
        </is>
      </c>
      <c r="C25" s="14" t="n"/>
      <c r="D25" s="14" t="n"/>
      <c r="E25" s="14" t="n"/>
      <c r="F25" s="10" t="inlineStr">
        <is>
          <t>점(1-5)</t>
        </is>
      </c>
      <c r="G25" s="10" t="inlineStr">
        <is>
          <t>interview_later</t>
        </is>
      </c>
      <c r="H25" s="3" t="inlineStr">
        <is>
          <t>composite라 실리뷰 없음; 인터뷰 매장 기준 수기 입력</t>
        </is>
      </c>
      <c r="I25" s="10" t="inlineStr">
        <is>
          <t>S03</t>
        </is>
      </c>
      <c r="J25" s="10" t="inlineStr">
        <is>
          <t>L</t>
        </is>
      </c>
      <c r="K25" s="10" t="inlineStr"/>
      <c r="L25" s="10" t="inlineStr"/>
      <c r="M25" s="3" t="inlineStr">
        <is>
          <t>대기 (파이프라인 또는 인터뷰로 채움)</t>
        </is>
      </c>
    </row>
    <row r="26">
      <c r="A26" s="10" t="inlineStr">
        <is>
          <t>mkt_review_event</t>
        </is>
      </c>
      <c r="B26" s="3" t="inlineStr">
        <is>
          <t>리뷰이벤트 유무</t>
        </is>
      </c>
      <c r="C26" s="13" t="inlineStr">
        <is>
          <t>N</t>
        </is>
      </c>
      <c r="D26" s="13" t="inlineStr">
        <is>
          <t>N</t>
        </is>
      </c>
      <c r="E26" s="13" t="inlineStr">
        <is>
          <t>Y</t>
        </is>
      </c>
      <c r="F26" s="10" t="inlineStr">
        <is>
          <t>Y/N</t>
        </is>
      </c>
      <c r="G26" s="10" t="inlineStr">
        <is>
          <t>interview_later</t>
        </is>
      </c>
      <c r="H26" s="3" t="inlineStr">
        <is>
          <t>미도입 composite 기본형 = 없음 (인터뷰로 확인)</t>
        </is>
      </c>
      <c r="I26" s="10" t="inlineStr"/>
      <c r="J26" s="10" t="inlineStr">
        <is>
          <t>L</t>
        </is>
      </c>
      <c r="K26" s="10" t="inlineStr">
        <is>
          <t>AI</t>
        </is>
      </c>
      <c r="L26" s="10" t="inlineStr"/>
      <c r="M26" s="6" t="inlineStr">
        <is>
          <t>ILLUSTRATIVE 예시 추정치 (검토 필요)</t>
        </is>
      </c>
    </row>
    <row r="27">
      <c r="A27" s="10" t="inlineStr">
        <is>
          <t>mkt_sponsorship</t>
        </is>
      </c>
      <c r="B27" s="3" t="inlineStr">
        <is>
          <t>마케팅/협찬 여부</t>
        </is>
      </c>
      <c r="C27" s="13" t="inlineStr">
        <is>
          <t>N</t>
        </is>
      </c>
      <c r="D27" s="13" t="inlineStr">
        <is>
          <t>N</t>
        </is>
      </c>
      <c r="E27" s="13" t="inlineStr">
        <is>
          <t>Y</t>
        </is>
      </c>
      <c r="F27" s="10" t="inlineStr">
        <is>
          <t>Y/N</t>
        </is>
      </c>
      <c r="G27" s="10" t="inlineStr">
        <is>
          <t>interview_later</t>
        </is>
      </c>
      <c r="H27" s="3" t="inlineStr">
        <is>
          <t>미도입 composite 기본형 = 없음 (인터뷰로 확인)</t>
        </is>
      </c>
      <c r="I27" s="10" t="inlineStr"/>
      <c r="J27" s="10" t="inlineStr">
        <is>
          <t>L</t>
        </is>
      </c>
      <c r="K27" s="10" t="inlineStr">
        <is>
          <t>AI</t>
        </is>
      </c>
      <c r="L27" s="10" t="inlineStr"/>
      <c r="M27" s="6" t="inlineStr">
        <is>
          <t>ILLUSTRATIVE 예시 추정치 (검토 필요)</t>
        </is>
      </c>
    </row>
    <row r="28">
      <c r="A28" s="10" t="inlineStr">
        <is>
          <t>mkt_celebrity_visits</t>
        </is>
      </c>
      <c r="B28" s="3" t="inlineStr">
        <is>
          <t>연예인 방문 비율</t>
        </is>
      </c>
      <c r="C28" s="11" t="n">
        <v>0</v>
      </c>
      <c r="D28" s="11" t="n">
        <v>0</v>
      </c>
      <c r="E28" s="11" t="n">
        <v>0.01</v>
      </c>
      <c r="F28" s="10" t="inlineStr">
        <is>
          <t>비율</t>
        </is>
      </c>
      <c r="G28" s="10" t="inlineStr">
        <is>
          <t>interview_later</t>
        </is>
      </c>
      <c r="H28" s="3" t="inlineStr">
        <is>
          <t>composite 기본형 = 0 (인터뷰로 확인)</t>
        </is>
      </c>
      <c r="I28" s="10" t="inlineStr"/>
      <c r="J28" s="10" t="inlineStr">
        <is>
          <t>L</t>
        </is>
      </c>
      <c r="K28" s="10" t="inlineStr">
        <is>
          <t>AI</t>
        </is>
      </c>
      <c r="L28" s="10" t="inlineStr"/>
      <c r="M28" s="6" t="inlineStr">
        <is>
          <t>ILLUSTRATIVE 예시 추정치 (검토 필요)</t>
        </is>
      </c>
    </row>
    <row r="29">
      <c r="A29" s="10" t="inlineStr">
        <is>
          <t>mkt_waitlist_app</t>
        </is>
      </c>
      <c r="B29" s="3" t="inlineStr">
        <is>
          <t>테이블링/캐치테이블</t>
        </is>
      </c>
      <c r="C29" s="13" t="inlineStr">
        <is>
          <t>N</t>
        </is>
      </c>
      <c r="D29" s="13" t="inlineStr">
        <is>
          <t>N</t>
        </is>
      </c>
      <c r="E29" s="13" t="inlineStr">
        <is>
          <t>N</t>
        </is>
      </c>
      <c r="F29" s="10" t="inlineStr">
        <is>
          <t>Y/N</t>
        </is>
      </c>
      <c r="G29" s="10" t="inlineStr">
        <is>
          <t>guesstimate</t>
        </is>
      </c>
      <c r="H29" s="3" t="inlineStr">
        <is>
          <t>미도입 정의상 N</t>
        </is>
      </c>
      <c r="I29" s="10" t="inlineStr">
        <is>
          <t>D0930</t>
        </is>
      </c>
      <c r="J29" s="10" t="inlineStr">
        <is>
          <t>H</t>
        </is>
      </c>
      <c r="K29" s="10" t="inlineStr">
        <is>
          <t>AI</t>
        </is>
      </c>
      <c r="L29" s="10" t="inlineStr"/>
      <c r="M29" s="6" t="inlineStr">
        <is>
          <t>ILLUSTRATIVE 예시 추정치 (검토 필요)</t>
        </is>
      </c>
    </row>
    <row r="30">
      <c r="A30" s="10" t="inlineStr">
        <is>
          <t>mkt_delivery</t>
        </is>
      </c>
      <c r="B30" s="3" t="inlineStr">
        <is>
          <t>배달 여부</t>
        </is>
      </c>
      <c r="C30" s="13" t="inlineStr">
        <is>
          <t>N</t>
        </is>
      </c>
      <c r="D30" s="13" t="inlineStr">
        <is>
          <t>N</t>
        </is>
      </c>
      <c r="E30" s="13" t="inlineStr">
        <is>
          <t>N</t>
        </is>
      </c>
      <c r="F30" s="10" t="inlineStr">
        <is>
          <t>Y/N</t>
        </is>
      </c>
      <c r="G30" s="10" t="inlineStr">
        <is>
          <t>guesstimate</t>
        </is>
      </c>
      <c r="H30" s="3" t="inlineStr">
        <is>
          <t>미도입 정의상 N (배달 플랫폼 미사용)</t>
        </is>
      </c>
      <c r="I30" s="10" t="inlineStr">
        <is>
          <t>D0930</t>
        </is>
      </c>
      <c r="J30" s="10" t="inlineStr">
        <is>
          <t>H</t>
        </is>
      </c>
      <c r="K30" s="10" t="inlineStr">
        <is>
          <t>AI</t>
        </is>
      </c>
      <c r="L30" s="10" t="inlineStr"/>
      <c r="M30" s="6" t="inlineStr">
        <is>
          <t>ILLUSTRATIVE 예시 추정치 (검토 필요)</t>
        </is>
      </c>
    </row>
    <row r="31">
      <c r="A31" s="10" t="inlineStr">
        <is>
          <t>mkt_price_elasticity</t>
        </is>
      </c>
      <c r="B31" s="3" t="inlineStr">
        <is>
          <t>가격탄력성 (도착률)</t>
        </is>
      </c>
      <c r="C31" s="11" t="n">
        <v>-0.3</v>
      </c>
      <c r="D31" s="11" t="n">
        <v>-0.8100000000000001</v>
      </c>
      <c r="E31" s="11" t="n">
        <v>-2.5</v>
      </c>
      <c r="F31" s="10" t="inlineStr">
        <is>
          <t>탄력성</t>
        </is>
      </c>
      <c r="G31" s="10" t="inlineStr">
        <is>
          <t>guesstimate</t>
        </is>
      </c>
      <c r="H31" s="3" t="inlineStr">
        <is>
          <t>−0.81은 외식(FAFH) 범주 수준의 메타분석 평균(S58)이고 한국 음식서비스 범주는 유의하지 않음(S59, 하한 −0.3). 근처 고깃집 27곳 중 한 매장의 탄력성은 범주보다 클 것이라 상한을 −2.5로 넓힘 (매장 수준 값은 출처 없음)</t>
        </is>
      </c>
      <c r="I31" s="10" t="inlineStr">
        <is>
          <t>S58;S59</t>
        </is>
      </c>
      <c r="J31" s="10" t="inlineStr">
        <is>
          <t>L</t>
        </is>
      </c>
      <c r="K31" s="10" t="inlineStr">
        <is>
          <t>AI</t>
        </is>
      </c>
      <c r="L31" s="10" t="inlineStr"/>
      <c r="M31" s="6" t="inlineStr">
        <is>
          <t>ILLUSTRATIVE 예시 추정치 (검토 필요)</t>
        </is>
      </c>
    </row>
    <row r="32">
      <c r="A32" s="10" t="inlineStr">
        <is>
          <t>mkt_party_size</t>
        </is>
      </c>
      <c r="B32" s="3" t="inlineStr">
        <is>
          <t>일행 수</t>
        </is>
      </c>
      <c r="C32" s="11" t="n">
        <v>2.2</v>
      </c>
      <c r="D32" s="11" t="n">
        <v>2.8</v>
      </c>
      <c r="E32" s="11" t="n">
        <v>3.5</v>
      </c>
      <c r="F32" s="10" t="inlineStr">
        <is>
          <t>명/팀</t>
        </is>
      </c>
      <c r="G32" s="10" t="inlineStr">
        <is>
          <t>guesstimate</t>
        </is>
      </c>
      <c r="H32" s="3" t="inlineStr">
        <is>
          <t>국내 일행 분포 없음. 미국 캐주얼 평균 2.61(S72); 대학로 21~24시 결제 1건 ₩60,464 ÷ 1인 ₩2.8만 ≥ 2.2명 → 2.8 유지 (민감도 분석은 SIMULATION.md)</t>
        </is>
      </c>
      <c r="I32" s="10" t="inlineStr">
        <is>
          <t>S72;S12</t>
        </is>
      </c>
      <c r="J32" s="10" t="inlineStr">
        <is>
          <t>L</t>
        </is>
      </c>
      <c r="K32" s="10" t="inlineStr">
        <is>
          <t>AI</t>
        </is>
      </c>
      <c r="L32" s="10" t="inlineStr"/>
      <c r="M32" s="6" t="inlineStr">
        <is>
          <t>ILLUSTRATIVE 예시 추정치 (검토 필요)</t>
        </is>
      </c>
    </row>
    <row r="33">
      <c r="A33" s="10" t="inlineStr">
        <is>
          <t>mkt_patience</t>
        </is>
      </c>
      <c r="B33" s="3" t="inlineStr">
        <is>
          <t>대기 인내시간</t>
        </is>
      </c>
      <c r="C33" s="11" t="n">
        <v>10</v>
      </c>
      <c r="D33" s="11" t="n">
        <v>25</v>
      </c>
      <c r="E33" s="11" t="n">
        <v>35</v>
      </c>
      <c r="F33" s="10" t="inlineStr">
        <is>
          <t>분</t>
        </is>
      </c>
      <c r="G33" s="10" t="inlineStr">
        <is>
          <t>guesstimate</t>
        </is>
      </c>
      <c r="H33" s="3" t="inlineStr">
        <is>
          <t>손님 72%가 30분 넘게 기다리지 않음(S60) → Gamma(형상 4)에서 P(≤30분)=0.72인 평균 ≈ 24.5분</t>
        </is>
      </c>
      <c r="I33" s="10" t="inlineStr">
        <is>
          <t>S60;S61</t>
        </is>
      </c>
      <c r="J33" s="10" t="inlineStr">
        <is>
          <t>L</t>
        </is>
      </c>
      <c r="K33" s="10" t="inlineStr">
        <is>
          <t>AI</t>
        </is>
      </c>
      <c r="L33" s="10" t="inlineStr"/>
      <c r="M33" s="6" t="inlineStr">
        <is>
          <t>ILLUSTRATIVE 예시 추정치 (검토 필요)</t>
        </is>
      </c>
    </row>
    <row r="34">
      <c r="A34" s="10" t="inlineStr">
        <is>
          <t>seg_twenties_party_factor</t>
        </is>
      </c>
      <c r="B34" s="3" t="inlineStr">
        <is>
          <t>20대 친구 모임 일행 규모 계수</t>
        </is>
      </c>
      <c r="C34" s="11" t="n">
        <v>0.8</v>
      </c>
      <c r="D34" s="11" t="n">
        <v>0.9</v>
      </c>
      <c r="E34" s="11" t="n">
        <v>1</v>
      </c>
      <c r="F34" s="10" t="inlineStr">
        <is>
          <t>배수</t>
        </is>
      </c>
      <c r="G34" s="10" t="inlineStr">
        <is>
          <t>guesstimate</t>
        </is>
      </c>
      <c r="H34" s="3" t="inlineStr">
        <is>
          <t>20대 친구 모임은 2~3명이 많다고 가정 (출처 없음)</t>
        </is>
      </c>
      <c r="I34" s="10" t="inlineStr"/>
      <c r="J34" s="10" t="inlineStr">
        <is>
          <t>L</t>
        </is>
      </c>
      <c r="K34" s="10" t="inlineStr">
        <is>
          <t>AI</t>
        </is>
      </c>
      <c r="L34" s="10" t="inlineStr"/>
      <c r="M34" s="6" t="inlineStr">
        <is>
          <t>ILLUSTRATIVE 예시 추정치 (검토 필요)</t>
        </is>
      </c>
    </row>
    <row r="35">
      <c r="A35" s="10" t="inlineStr">
        <is>
          <t>seg_twenties_dwell_factor</t>
        </is>
      </c>
      <c r="B35" s="3" t="inlineStr">
        <is>
          <t>20대 친구 모임 체류시간 계수</t>
        </is>
      </c>
      <c r="C35" s="11" t="n">
        <v>0.9</v>
      </c>
      <c r="D35" s="11" t="n">
        <v>1.05</v>
      </c>
      <c r="E35" s="11" t="n">
        <v>1.2</v>
      </c>
      <c r="F35" s="10" t="inlineStr">
        <is>
          <t>배수</t>
        </is>
      </c>
      <c r="G35" s="10" t="inlineStr">
        <is>
          <t>guesstimate</t>
        </is>
      </c>
      <c r="H35" s="3" t="inlineStr">
        <is>
          <t>대화·2차 전 체류가 길다고 가정 (출처 없음)</t>
        </is>
      </c>
      <c r="I35" s="10" t="inlineStr"/>
      <c r="J35" s="10" t="inlineStr">
        <is>
          <t>L</t>
        </is>
      </c>
      <c r="K35" s="10" t="inlineStr">
        <is>
          <t>AI</t>
        </is>
      </c>
      <c r="L35" s="10" t="inlineStr"/>
      <c r="M35" s="6" t="inlineStr">
        <is>
          <t>ILLUSTRATIVE 예시 추정치 (검토 필요)</t>
        </is>
      </c>
    </row>
    <row r="36">
      <c r="A36" s="10" t="inlineStr">
        <is>
          <t>seg_twenties_alcohol_factor</t>
        </is>
      </c>
      <c r="B36" s="3" t="inlineStr">
        <is>
          <t>20대 친구 모임 1인당 음주 계수</t>
        </is>
      </c>
      <c r="C36" s="11" t="n">
        <v>0.9</v>
      </c>
      <c r="D36" s="11" t="n">
        <v>1.1</v>
      </c>
      <c r="E36" s="11" t="n">
        <v>1.3</v>
      </c>
      <c r="F36" s="10" t="inlineStr">
        <is>
          <t>배수</t>
        </is>
      </c>
      <c r="G36" s="10" t="inlineStr">
        <is>
          <t>guesstimate</t>
        </is>
      </c>
      <c r="H36" s="3" t="inlineStr">
        <is>
          <t>평균보다 약간 더 마신다고 가정 (출처 없음)</t>
        </is>
      </c>
      <c r="I36" s="10" t="inlineStr"/>
      <c r="J36" s="10" t="inlineStr">
        <is>
          <t>L</t>
        </is>
      </c>
      <c r="K36" s="10" t="inlineStr">
        <is>
          <t>AI</t>
        </is>
      </c>
      <c r="L36" s="10" t="inlineStr"/>
      <c r="M36" s="6" t="inlineStr">
        <is>
          <t>ILLUSTRATIVE 예시 추정치 (검토 필요)</t>
        </is>
      </c>
    </row>
    <row r="37">
      <c r="A37" s="10" t="inlineStr">
        <is>
          <t>seg_twenties_patience_factor</t>
        </is>
      </c>
      <c r="B37" s="3" t="inlineStr">
        <is>
          <t>20대 친구 모임 대기 인내 계수</t>
        </is>
      </c>
      <c r="C37" s="11" t="n">
        <v>1</v>
      </c>
      <c r="D37" s="11" t="n">
        <v>1.3</v>
      </c>
      <c r="E37" s="11" t="n">
        <v>1.6</v>
      </c>
      <c r="F37" s="10" t="inlineStr">
        <is>
          <t>배수</t>
        </is>
      </c>
      <c r="G37" s="10" t="inlineStr">
        <is>
          <t>guesstimate</t>
        </is>
      </c>
      <c r="H37" s="3" t="inlineStr">
        <is>
          <t>소문난 집이면 더 오래 기다린다고 가정 (출처 없음)</t>
        </is>
      </c>
      <c r="I37" s="10" t="inlineStr"/>
      <c r="J37" s="10" t="inlineStr">
        <is>
          <t>L</t>
        </is>
      </c>
      <c r="K37" s="10" t="inlineStr">
        <is>
          <t>AI</t>
        </is>
      </c>
      <c r="L37" s="10" t="inlineStr"/>
      <c r="M37" s="6" t="inlineStr">
        <is>
          <t>ILLUSTRATIVE 예시 추정치 (검토 필요)</t>
        </is>
      </c>
    </row>
    <row r="38">
      <c r="A38" s="10" t="inlineStr">
        <is>
          <t>seg_twenties_early_mult</t>
        </is>
      </c>
      <c r="B38" s="3" t="inlineStr">
        <is>
          <t>20대 친구 모임 이른 저녁(17~19시) 도착 가중치</t>
        </is>
      </c>
      <c r="C38" s="11" t="n">
        <v>0.4</v>
      </c>
      <c r="D38" s="11" t="n">
        <v>0.6</v>
      </c>
      <c r="E38" s="11" t="n">
        <v>0.9</v>
      </c>
      <c r="F38" s="10" t="inlineStr">
        <is>
          <t>배수</t>
        </is>
      </c>
      <c r="G38" s="10" t="inlineStr">
        <is>
          <t>guesstimate</t>
        </is>
      </c>
      <c r="H38" s="3" t="inlineStr">
        <is>
          <t>수업·알바 뒤 늦게 온다고 가정 (출처 없음)</t>
        </is>
      </c>
      <c r="I38" s="10" t="inlineStr"/>
      <c r="J38" s="10" t="inlineStr">
        <is>
          <t>L</t>
        </is>
      </c>
      <c r="K38" s="10" t="inlineStr">
        <is>
          <t>AI</t>
        </is>
      </c>
      <c r="L38" s="10" t="inlineStr"/>
      <c r="M38" s="6" t="inlineStr">
        <is>
          <t>ILLUSTRATIVE 예시 추정치 (검토 필요)</t>
        </is>
      </c>
    </row>
    <row r="39">
      <c r="A39" s="10" t="inlineStr">
        <is>
          <t>seg_twenties_late_mult</t>
        </is>
      </c>
      <c r="B39" s="3" t="inlineStr">
        <is>
          <t>20대 친구 모임 늦은 밤(21시 이후) 도착 가중치</t>
        </is>
      </c>
      <c r="C39" s="11" t="n">
        <v>1.2</v>
      </c>
      <c r="D39" s="11" t="n">
        <v>1.6</v>
      </c>
      <c r="E39" s="11" t="n">
        <v>2</v>
      </c>
      <c r="F39" s="10" t="inlineStr">
        <is>
          <t>배수</t>
        </is>
      </c>
      <c r="G39" s="10" t="inlineStr">
        <is>
          <t>guesstimate</t>
        </is>
      </c>
      <c r="H39" s="3" t="inlineStr">
        <is>
          <t>21시 이후 비중이 높다고 가정 (출처 없음)</t>
        </is>
      </c>
      <c r="I39" s="10" t="inlineStr"/>
      <c r="J39" s="10" t="inlineStr">
        <is>
          <t>L</t>
        </is>
      </c>
      <c r="K39" s="10" t="inlineStr">
        <is>
          <t>AI</t>
        </is>
      </c>
      <c r="L39" s="10" t="inlineStr"/>
      <c r="M39" s="6" t="inlineStr">
        <is>
          <t>ILLUSTRATIVE 예시 추정치 (검토 필요)</t>
        </is>
      </c>
    </row>
    <row r="40">
      <c r="A40" s="10" t="inlineStr">
        <is>
          <t>seg_office_party_factor</t>
        </is>
      </c>
      <c r="B40" s="3" t="inlineStr">
        <is>
          <t>직장인 회식 일행 규모 계수</t>
        </is>
      </c>
      <c r="C40" s="11" t="n">
        <v>1.1</v>
      </c>
      <c r="D40" s="11" t="n">
        <v>1.25</v>
      </c>
      <c r="E40" s="11" t="n">
        <v>1.4</v>
      </c>
      <c r="F40" s="10" t="inlineStr">
        <is>
          <t>배수</t>
        </is>
      </c>
      <c r="G40" s="10" t="inlineStr">
        <is>
          <t>guesstimate</t>
        </is>
      </c>
      <c r="H40" s="3" t="inlineStr">
        <is>
          <t>회식은 3~4명 테이블이 많다고 가정 (출처 없음)</t>
        </is>
      </c>
      <c r="I40" s="10" t="inlineStr"/>
      <c r="J40" s="10" t="inlineStr">
        <is>
          <t>L</t>
        </is>
      </c>
      <c r="K40" s="10" t="inlineStr">
        <is>
          <t>AI</t>
        </is>
      </c>
      <c r="L40" s="10" t="inlineStr"/>
      <c r="M40" s="6" t="inlineStr">
        <is>
          <t>ILLUSTRATIVE 예시 추정치 (검토 필요)</t>
        </is>
      </c>
    </row>
    <row r="41">
      <c r="A41" s="10" t="inlineStr">
        <is>
          <t>seg_office_dwell_factor</t>
        </is>
      </c>
      <c r="B41" s="3" t="inlineStr">
        <is>
          <t>직장인 회식 체류시간 계수</t>
        </is>
      </c>
      <c r="C41" s="11" t="n">
        <v>1</v>
      </c>
      <c r="D41" s="11" t="n">
        <v>1.15</v>
      </c>
      <c r="E41" s="11" t="n">
        <v>1.35</v>
      </c>
      <c r="F41" s="10" t="inlineStr">
        <is>
          <t>배수</t>
        </is>
      </c>
      <c r="G41" s="10" t="inlineStr">
        <is>
          <t>guesstimate</t>
        </is>
      </c>
      <c r="H41" s="3" t="inlineStr">
        <is>
          <t>회식은 오래 앉아 있다고 가정 (출처 없음)</t>
        </is>
      </c>
      <c r="I41" s="10" t="inlineStr"/>
      <c r="J41" s="10" t="inlineStr">
        <is>
          <t>L</t>
        </is>
      </c>
      <c r="K41" s="10" t="inlineStr">
        <is>
          <t>AI</t>
        </is>
      </c>
      <c r="L41" s="10" t="inlineStr"/>
      <c r="M41" s="6" t="inlineStr">
        <is>
          <t>ILLUSTRATIVE 예시 추정치 (검토 필요)</t>
        </is>
      </c>
    </row>
    <row r="42">
      <c r="A42" s="10" t="inlineStr">
        <is>
          <t>seg_office_alcohol_factor</t>
        </is>
      </c>
      <c r="B42" s="3" t="inlineStr">
        <is>
          <t>직장인 회식 1인당 음주 계수</t>
        </is>
      </c>
      <c r="C42" s="11" t="n">
        <v>1.1</v>
      </c>
      <c r="D42" s="11" t="n">
        <v>1.3</v>
      </c>
      <c r="E42" s="11" t="n">
        <v>1.6</v>
      </c>
      <c r="F42" s="10" t="inlineStr">
        <is>
          <t>배수</t>
        </is>
      </c>
      <c r="G42" s="10" t="inlineStr">
        <is>
          <t>guesstimate</t>
        </is>
      </c>
      <c r="H42" s="3" t="inlineStr">
        <is>
          <t>회식 음주량이 가장 많다고 가정 (출처 없음)</t>
        </is>
      </c>
      <c r="I42" s="10" t="inlineStr"/>
      <c r="J42" s="10" t="inlineStr">
        <is>
          <t>L</t>
        </is>
      </c>
      <c r="K42" s="10" t="inlineStr">
        <is>
          <t>AI</t>
        </is>
      </c>
      <c r="L42" s="10" t="inlineStr"/>
      <c r="M42" s="6" t="inlineStr">
        <is>
          <t>ILLUSTRATIVE 예시 추정치 (검토 필요)</t>
        </is>
      </c>
    </row>
    <row r="43">
      <c r="A43" s="10" t="inlineStr">
        <is>
          <t>seg_office_patience_factor</t>
        </is>
      </c>
      <c r="B43" s="3" t="inlineStr">
        <is>
          <t>직장인 회식 대기 인내 계수</t>
        </is>
      </c>
      <c r="C43" s="11" t="n">
        <v>0.5</v>
      </c>
      <c r="D43" s="11" t="n">
        <v>0.7</v>
      </c>
      <c r="E43" s="11" t="n">
        <v>0.9</v>
      </c>
      <c r="F43" s="10" t="inlineStr">
        <is>
          <t>배수</t>
        </is>
      </c>
      <c r="G43" s="10" t="inlineStr">
        <is>
          <t>guesstimate</t>
        </is>
      </c>
      <c r="H43" s="3" t="inlineStr">
        <is>
          <t>단체는 바로 다른 집으로 옮긴다고 가정 (출처 없음)</t>
        </is>
      </c>
      <c r="I43" s="10" t="inlineStr"/>
      <c r="J43" s="10" t="inlineStr">
        <is>
          <t>L</t>
        </is>
      </c>
      <c r="K43" s="10" t="inlineStr">
        <is>
          <t>AI</t>
        </is>
      </c>
      <c r="L43" s="10" t="inlineStr"/>
      <c r="M43" s="6" t="inlineStr">
        <is>
          <t>ILLUSTRATIVE 예시 추정치 (검토 필요)</t>
        </is>
      </c>
    </row>
    <row r="44">
      <c r="A44" s="10" t="inlineStr">
        <is>
          <t>seg_office_early_mult</t>
        </is>
      </c>
      <c r="B44" s="3" t="inlineStr">
        <is>
          <t>직장인 회식 이른 저녁(17~19시) 도착 가중치</t>
        </is>
      </c>
      <c r="C44" s="11" t="n">
        <v>0.7</v>
      </c>
      <c r="D44" s="11" t="n">
        <v>0.9</v>
      </c>
      <c r="E44" s="11" t="n">
        <v>1.1</v>
      </c>
      <c r="F44" s="10" t="inlineStr">
        <is>
          <t>배수</t>
        </is>
      </c>
      <c r="G44" s="10" t="inlineStr">
        <is>
          <t>guesstimate</t>
        </is>
      </c>
      <c r="H44" s="3" t="inlineStr">
        <is>
          <t>퇴근 직후 18~19시 도착 가정 (출처 없음)</t>
        </is>
      </c>
      <c r="I44" s="10" t="inlineStr"/>
      <c r="J44" s="10" t="inlineStr">
        <is>
          <t>L</t>
        </is>
      </c>
      <c r="K44" s="10" t="inlineStr">
        <is>
          <t>AI</t>
        </is>
      </c>
      <c r="L44" s="10" t="inlineStr"/>
      <c r="M44" s="6" t="inlineStr">
        <is>
          <t>ILLUSTRATIVE 예시 추정치 (검토 필요)</t>
        </is>
      </c>
    </row>
    <row r="45">
      <c r="A45" s="10" t="inlineStr">
        <is>
          <t>seg_office_late_mult</t>
        </is>
      </c>
      <c r="B45" s="3" t="inlineStr">
        <is>
          <t>직장인 회식 늦은 밤(21시 이후) 도착 가중치</t>
        </is>
      </c>
      <c r="C45" s="11" t="n">
        <v>0.8</v>
      </c>
      <c r="D45" s="11" t="n">
        <v>1</v>
      </c>
      <c r="E45" s="11" t="n">
        <v>1.2</v>
      </c>
      <c r="F45" s="10" t="inlineStr">
        <is>
          <t>배수</t>
        </is>
      </c>
      <c r="G45" s="10" t="inlineStr">
        <is>
          <t>guesstimate</t>
        </is>
      </c>
      <c r="H45" s="3" t="inlineStr">
        <is>
          <t>21시 이후는 평균 수준 가정 (출처 없음)</t>
        </is>
      </c>
      <c r="I45" s="10" t="inlineStr"/>
      <c r="J45" s="10" t="inlineStr">
        <is>
          <t>L</t>
        </is>
      </c>
      <c r="K45" s="10" t="inlineStr">
        <is>
          <t>AI</t>
        </is>
      </c>
      <c r="L45" s="10" t="inlineStr"/>
      <c r="M45" s="6" t="inlineStr">
        <is>
          <t>ILLUSTRATIVE 예시 추정치 (검토 필요)</t>
        </is>
      </c>
    </row>
    <row r="46">
      <c r="A46" s="10" t="inlineStr">
        <is>
          <t>seg_family_party_factor</t>
        </is>
      </c>
      <c r="B46" s="3" t="inlineStr">
        <is>
          <t>동네 가족 일행 규모 계수</t>
        </is>
      </c>
      <c r="C46" s="11" t="n">
        <v>0.95</v>
      </c>
      <c r="D46" s="11" t="n">
        <v>1.05</v>
      </c>
      <c r="E46" s="11" t="n">
        <v>1.2</v>
      </c>
      <c r="F46" s="10" t="inlineStr">
        <is>
          <t>배수</t>
        </is>
      </c>
      <c r="G46" s="10" t="inlineStr">
        <is>
          <t>guesstimate</t>
        </is>
      </c>
      <c r="H46" s="3" t="inlineStr">
        <is>
          <t>부모와 자녀 3~4명 가정 (출처 없음)</t>
        </is>
      </c>
      <c r="I46" s="10" t="inlineStr"/>
      <c r="J46" s="10" t="inlineStr">
        <is>
          <t>L</t>
        </is>
      </c>
      <c r="K46" s="10" t="inlineStr">
        <is>
          <t>AI</t>
        </is>
      </c>
      <c r="L46" s="10" t="inlineStr"/>
      <c r="M46" s="6" t="inlineStr">
        <is>
          <t>ILLUSTRATIVE 예시 추정치 (검토 필요)</t>
        </is>
      </c>
    </row>
    <row r="47">
      <c r="A47" s="10" t="inlineStr">
        <is>
          <t>seg_family_dwell_factor</t>
        </is>
      </c>
      <c r="B47" s="3" t="inlineStr">
        <is>
          <t>동네 가족 체류시간 계수</t>
        </is>
      </c>
      <c r="C47" s="11" t="n">
        <v>0.7</v>
      </c>
      <c r="D47" s="11" t="n">
        <v>0.8</v>
      </c>
      <c r="E47" s="11" t="n">
        <v>0.95</v>
      </c>
      <c r="F47" s="10" t="inlineStr">
        <is>
          <t>배수</t>
        </is>
      </c>
      <c r="G47" s="10" t="inlineStr">
        <is>
          <t>guesstimate</t>
        </is>
      </c>
      <c r="H47" s="3" t="inlineStr">
        <is>
          <t>식사 위주라 빨리 일어난다고 가정 (출처 없음)</t>
        </is>
      </c>
      <c r="I47" s="10" t="inlineStr"/>
      <c r="J47" s="10" t="inlineStr">
        <is>
          <t>L</t>
        </is>
      </c>
      <c r="K47" s="10" t="inlineStr">
        <is>
          <t>AI</t>
        </is>
      </c>
      <c r="L47" s="10" t="inlineStr"/>
      <c r="M47" s="6" t="inlineStr">
        <is>
          <t>ILLUSTRATIVE 예시 추정치 (검토 필요)</t>
        </is>
      </c>
    </row>
    <row r="48">
      <c r="A48" s="10" t="inlineStr">
        <is>
          <t>seg_family_alcohol_factor</t>
        </is>
      </c>
      <c r="B48" s="3" t="inlineStr">
        <is>
          <t>동네 가족 1인당 음주 계수</t>
        </is>
      </c>
      <c r="C48" s="11" t="n">
        <v>0.2</v>
      </c>
      <c r="D48" s="11" t="n">
        <v>0.4</v>
      </c>
      <c r="E48" s="11" t="n">
        <v>0.7</v>
      </c>
      <c r="F48" s="10" t="inlineStr">
        <is>
          <t>배수</t>
        </is>
      </c>
      <c r="G48" s="10" t="inlineStr">
        <is>
          <t>guesstimate</t>
        </is>
      </c>
      <c r="H48" s="3" t="inlineStr">
        <is>
          <t>음주가 적다고 가정 (출처 없음)</t>
        </is>
      </c>
      <c r="I48" s="10" t="inlineStr"/>
      <c r="J48" s="10" t="inlineStr">
        <is>
          <t>L</t>
        </is>
      </c>
      <c r="K48" s="10" t="inlineStr">
        <is>
          <t>AI</t>
        </is>
      </c>
      <c r="L48" s="10" t="inlineStr"/>
      <c r="M48" s="6" t="inlineStr">
        <is>
          <t>ILLUSTRATIVE 예시 추정치 (검토 필요)</t>
        </is>
      </c>
    </row>
    <row r="49">
      <c r="A49" s="10" t="inlineStr">
        <is>
          <t>seg_family_patience_factor</t>
        </is>
      </c>
      <c r="B49" s="3" t="inlineStr">
        <is>
          <t>동네 가족 대기 인내 계수</t>
        </is>
      </c>
      <c r="C49" s="11" t="n">
        <v>0.7</v>
      </c>
      <c r="D49" s="11" t="n">
        <v>0.9</v>
      </c>
      <c r="E49" s="11" t="n">
        <v>1.1</v>
      </c>
      <c r="F49" s="10" t="inlineStr">
        <is>
          <t>배수</t>
        </is>
      </c>
      <c r="G49" s="10" t="inlineStr">
        <is>
          <t>guesstimate</t>
        </is>
      </c>
      <c r="H49" s="3" t="inlineStr">
        <is>
          <t>아이와 함께라 오래 못 기다린다고 가정 (출처 없음)</t>
        </is>
      </c>
      <c r="I49" s="10" t="inlineStr"/>
      <c r="J49" s="10" t="inlineStr">
        <is>
          <t>L</t>
        </is>
      </c>
      <c r="K49" s="10" t="inlineStr">
        <is>
          <t>AI</t>
        </is>
      </c>
      <c r="L49" s="10" t="inlineStr"/>
      <c r="M49" s="6" t="inlineStr">
        <is>
          <t>ILLUSTRATIVE 예시 추정치 (검토 필요)</t>
        </is>
      </c>
    </row>
    <row r="50">
      <c r="A50" s="10" t="inlineStr">
        <is>
          <t>seg_family_early_mult</t>
        </is>
      </c>
      <c r="B50" s="3" t="inlineStr">
        <is>
          <t>동네 가족 이른 저녁(17~19시) 도착 가중치</t>
        </is>
      </c>
      <c r="C50" s="11" t="n">
        <v>1.3</v>
      </c>
      <c r="D50" s="11" t="n">
        <v>1.8</v>
      </c>
      <c r="E50" s="11" t="n">
        <v>2.3</v>
      </c>
      <c r="F50" s="10" t="inlineStr">
        <is>
          <t>배수</t>
        </is>
      </c>
      <c r="G50" s="10" t="inlineStr">
        <is>
          <t>guesstimate</t>
        </is>
      </c>
      <c r="H50" s="3" t="inlineStr">
        <is>
          <t>이른 저녁 식사 가정 (출처 없음)</t>
        </is>
      </c>
      <c r="I50" s="10" t="inlineStr"/>
      <c r="J50" s="10" t="inlineStr">
        <is>
          <t>L</t>
        </is>
      </c>
      <c r="K50" s="10" t="inlineStr">
        <is>
          <t>AI</t>
        </is>
      </c>
      <c r="L50" s="10" t="inlineStr"/>
      <c r="M50" s="6" t="inlineStr">
        <is>
          <t>ILLUSTRATIVE 예시 추정치 (검토 필요)</t>
        </is>
      </c>
    </row>
    <row r="51">
      <c r="A51" s="10" t="inlineStr">
        <is>
          <t>seg_family_late_mult</t>
        </is>
      </c>
      <c r="B51" s="3" t="inlineStr">
        <is>
          <t>동네 가족 늦은 밤(21시 이후) 도착 가중치</t>
        </is>
      </c>
      <c r="C51" s="11" t="n">
        <v>0.1</v>
      </c>
      <c r="D51" s="11" t="n">
        <v>0.3</v>
      </c>
      <c r="E51" s="11" t="n">
        <v>0.5</v>
      </c>
      <c r="F51" s="10" t="inlineStr">
        <is>
          <t>배수</t>
        </is>
      </c>
      <c r="G51" s="10" t="inlineStr">
        <is>
          <t>guesstimate</t>
        </is>
      </c>
      <c r="H51" s="3" t="inlineStr">
        <is>
          <t>21시 이후는 드물다고 가정 (출처 없음)</t>
        </is>
      </c>
      <c r="I51" s="10" t="inlineStr"/>
      <c r="J51" s="10" t="inlineStr">
        <is>
          <t>L</t>
        </is>
      </c>
      <c r="K51" s="10" t="inlineStr">
        <is>
          <t>AI</t>
        </is>
      </c>
      <c r="L51" s="10" t="inlineStr"/>
      <c r="M51" s="6" t="inlineStr">
        <is>
          <t>ILLUSTRATIVE 예시 추정치 (검토 필요)</t>
        </is>
      </c>
    </row>
    <row r="52">
      <c r="A52" s="10" t="inlineStr">
        <is>
          <t>reg_age_mix</t>
        </is>
      </c>
      <c r="B52" s="3" t="inlineStr">
        <is>
          <t>나이대 (20대 매출 비중)</t>
        </is>
      </c>
      <c r="C52" s="14" t="n"/>
      <c r="D52" s="16" t="n">
        <v>0.28</v>
      </c>
      <c r="E52" s="14" t="n"/>
      <c r="F52" s="10" t="inlineStr">
        <is>
          <t>비율</t>
        </is>
      </c>
      <c r="G52" s="10" t="inlineStr">
        <is>
          <t>public</t>
        </is>
      </c>
      <c r="H52" s="3" t="inlineStr">
        <is>
          <t>대학로 2025 한식 매출 20대 28% (30대 25%)</t>
        </is>
      </c>
      <c r="I52" s="10" t="inlineStr">
        <is>
          <t>S12</t>
        </is>
      </c>
      <c r="J52" s="10" t="inlineStr">
        <is>
          <t>H</t>
        </is>
      </c>
      <c r="K52" s="10" t="inlineStr">
        <is>
          <t>AI</t>
        </is>
      </c>
      <c r="L52" s="10" t="inlineStr"/>
      <c r="M52" s="3" t="inlineStr">
        <is>
          <t>공공데이터/공식 수치</t>
        </is>
      </c>
    </row>
    <row r="53">
      <c r="A53" s="10" t="inlineStr">
        <is>
          <t>reg_evening_share</t>
        </is>
      </c>
      <c r="B53" s="3" t="inlineStr">
        <is>
          <t>저녁 매출 비중 (17–24시)</t>
        </is>
      </c>
      <c r="C53" s="16" t="n">
        <v>0.62</v>
      </c>
      <c r="D53" s="16" t="n">
        <v>0.63</v>
      </c>
      <c r="E53" s="16" t="n">
        <v>0.64</v>
      </c>
      <c r="F53" s="10" t="inlineStr">
        <is>
          <t>비율</t>
        </is>
      </c>
      <c r="G53" s="10" t="inlineStr">
        <is>
          <t>public</t>
        </is>
      </c>
      <c r="H53" s="3" t="inlineStr">
        <is>
          <t>대학로 한식 17–24시 매출 비중 62–64% (2026-09-30 실측)</t>
        </is>
      </c>
      <c r="I53" s="10" t="inlineStr">
        <is>
          <t>S12</t>
        </is>
      </c>
      <c r="J53" s="10" t="inlineStr">
        <is>
          <t>H</t>
        </is>
      </c>
      <c r="K53" s="10" t="inlineStr">
        <is>
          <t>AI</t>
        </is>
      </c>
      <c r="L53" s="10" t="inlineStr"/>
      <c r="M53" s="3" t="inlineStr">
        <is>
          <t>공공데이터/공식 수치</t>
        </is>
      </c>
    </row>
    <row r="54">
      <c r="A54" s="10" t="inlineStr">
        <is>
          <t>reg_foot_traffic</t>
        </is>
      </c>
      <c r="B54" s="3" t="inlineStr">
        <is>
          <t>지역 유동인구</t>
        </is>
      </c>
      <c r="C54" s="14" t="n"/>
      <c r="D54" s="14" t="n"/>
      <c r="E54" s="14" t="n"/>
      <c r="F54" s="10" t="inlineStr">
        <is>
          <t>명/분기</t>
        </is>
      </c>
      <c r="G54" s="10" t="inlineStr">
        <is>
          <t>public</t>
        </is>
      </c>
      <c r="H54" s="3" t="inlineStr">
        <is>
          <t>파이프라인(OA-15568)이 채움</t>
        </is>
      </c>
      <c r="I54" s="10" t="inlineStr">
        <is>
          <t>S14</t>
        </is>
      </c>
      <c r="J54" s="10" t="inlineStr">
        <is>
          <t>L</t>
        </is>
      </c>
      <c r="K54" s="10" t="inlineStr"/>
      <c r="L54" s="10" t="inlineStr"/>
      <c r="M54" s="3" t="inlineStr">
        <is>
          <t>대기 (파이프라인 또는 인터뷰로 채움)</t>
        </is>
      </c>
    </row>
    <row r="55">
      <c r="A55" s="10" t="inlineStr">
        <is>
          <t>reg_trade_area_facilities</t>
        </is>
      </c>
      <c r="B55" s="3" t="inlineStr">
        <is>
          <t>주변 상권 분석 (학교/회사·집객시설)</t>
        </is>
      </c>
      <c r="C55" s="14" t="n"/>
      <c r="D55" s="14" t="n"/>
      <c r="E55" s="14" t="n"/>
      <c r="F55" s="10" t="inlineStr">
        <is>
          <t>개</t>
        </is>
      </c>
      <c r="G55" s="10" t="inlineStr">
        <is>
          <t>public</t>
        </is>
      </c>
      <c r="H55" s="3" t="inlineStr">
        <is>
          <t>파이프라인(OA-15580 UNIV_CO, SUBWAY_STATN_CO)이 채움</t>
        </is>
      </c>
      <c r="I55" s="10" t="inlineStr">
        <is>
          <t>S17</t>
        </is>
      </c>
      <c r="J55" s="10" t="inlineStr">
        <is>
          <t>L</t>
        </is>
      </c>
      <c r="K55" s="10" t="inlineStr"/>
      <c r="L55" s="10" t="inlineStr"/>
      <c r="M55" s="3" t="inlineStr">
        <is>
          <t>대기 (파이프라인 또는 인터뷰로 채움)</t>
        </is>
      </c>
    </row>
    <row r="56">
      <c r="A56" s="10" t="inlineStr">
        <is>
          <t>reg_worker_pop</t>
        </is>
      </c>
      <c r="B56" s="3" t="inlineStr">
        <is>
          <t>직장인구</t>
        </is>
      </c>
      <c r="C56" s="14" t="n"/>
      <c r="D56" s="14" t="n"/>
      <c r="E56" s="14" t="n"/>
      <c r="F56" s="10" t="inlineStr">
        <is>
          <t>명</t>
        </is>
      </c>
      <c r="G56" s="10" t="inlineStr">
        <is>
          <t>public</t>
        </is>
      </c>
      <c r="H56" s="3" t="inlineStr">
        <is>
          <t>파이프라인(OA-15569)이 채움</t>
        </is>
      </c>
      <c r="I56" s="10" t="inlineStr">
        <is>
          <t>S16</t>
        </is>
      </c>
      <c r="J56" s="10" t="inlineStr">
        <is>
          <t>L</t>
        </is>
      </c>
      <c r="K56" s="10" t="inlineStr"/>
      <c r="L56" s="10" t="inlineStr"/>
      <c r="M56" s="3" t="inlineStr">
        <is>
          <t>대기 (파이프라인 또는 인터뷰로 채움)</t>
        </is>
      </c>
    </row>
    <row r="57">
      <c r="A57" s="10" t="inlineStr">
        <is>
          <t>reg_competitors</t>
        </is>
      </c>
      <c r="B57" s="3" t="inlineStr">
        <is>
          <t>인근 돼지고기 구이 점포수</t>
        </is>
      </c>
      <c r="C57" s="14" t="n"/>
      <c r="D57" s="16" t="n">
        <v>27</v>
      </c>
      <c r="E57" s="14" t="n"/>
      <c r="F57" s="10" t="inlineStr">
        <is>
          <t>개</t>
        </is>
      </c>
      <c r="G57" s="10" t="inlineStr">
        <is>
          <t>public</t>
        </is>
      </c>
      <c r="H57" s="3" t="inlineStr">
        <is>
          <t>3120012 경계 안 I20107 27개 (지점명 있는 6개 제외 시 독립 ~20)</t>
        </is>
      </c>
      <c r="I57" s="10" t="inlineStr">
        <is>
          <t>S20;S18</t>
        </is>
      </c>
      <c r="J57" s="10" t="inlineStr">
        <is>
          <t>H</t>
        </is>
      </c>
      <c r="K57" s="10" t="inlineStr">
        <is>
          <t>AI</t>
        </is>
      </c>
      <c r="L57" s="10" t="inlineStr"/>
      <c r="M57" s="3" t="inlineStr">
        <is>
          <t>공공데이터/공식 수치</t>
        </is>
      </c>
    </row>
    <row r="58">
      <c r="A58" s="10" t="inlineStr">
        <is>
          <t>cst_meat_cost_per_portion</t>
        </is>
      </c>
      <c r="B58" s="3" t="inlineStr">
        <is>
          <t>고기 원가 (1인분)</t>
        </is>
      </c>
      <c r="C58" s="15" t="n">
        <v>3700</v>
      </c>
      <c r="D58" s="15" t="n">
        <v>4500</v>
      </c>
      <c r="E58" s="15" t="n">
        <v>5200</v>
      </c>
      <c r="F58" s="10" t="inlineStr">
        <is>
          <t>₩/인분</t>
        </is>
      </c>
      <c r="G58" s="10" t="inlineStr">
        <is>
          <t>guesstimate</t>
        </is>
      </c>
      <c r="H58" s="3" t="inlineStr">
        <is>
          <t>KMTA 냉장 삼겹 공장출고 2026년 1~9월 평균 ₩18,647/kg × 0.2kg = ₩3,729 + 유통·손질 손실 15~25% 가정(출처 없음) ≈ ₩4,500; 상한은 소매가 ₩2,559/100g × 2 = ₩5,118</t>
        </is>
      </c>
      <c r="I58" s="10" t="inlineStr">
        <is>
          <t>S68;S69</t>
        </is>
      </c>
      <c r="J58" s="10" t="inlineStr">
        <is>
          <t>M</t>
        </is>
      </c>
      <c r="K58" s="10" t="inlineStr">
        <is>
          <t>AI</t>
        </is>
      </c>
      <c r="L58" s="10" t="inlineStr"/>
      <c r="M58" s="6" t="inlineStr">
        <is>
          <t>ILLUSTRATIVE 예시 추정치 (검토 필요)</t>
        </is>
      </c>
    </row>
    <row r="59">
      <c r="A59" s="10" t="inlineStr">
        <is>
          <t>cst_alcohol_cost_per_bottle</t>
        </is>
      </c>
      <c r="B59" s="3" t="inlineStr">
        <is>
          <t>주류 원가 (병)</t>
        </is>
      </c>
      <c r="C59" s="15" t="n">
        <v>1400</v>
      </c>
      <c r="D59" s="15" t="n">
        <v>1600</v>
      </c>
      <c r="E59" s="15" t="n">
        <v>1800</v>
      </c>
      <c r="F59" s="10" t="inlineStr">
        <is>
          <t>₩/병</t>
        </is>
      </c>
      <c r="G59" s="10" t="inlineStr">
        <is>
          <t>guesstimate</t>
        </is>
      </c>
      <c r="H59" s="3" t="inlineStr">
        <is>
          <t>₩6,000 판매 시 마진 ₩4,400 → 원가 ₩1,600 (2023)</t>
        </is>
      </c>
      <c r="I59" s="10" t="inlineStr">
        <is>
          <t>S27</t>
        </is>
      </c>
      <c r="J59" s="10" t="inlineStr">
        <is>
          <t>M</t>
        </is>
      </c>
      <c r="K59" s="10" t="inlineStr">
        <is>
          <t>AI</t>
        </is>
      </c>
      <c r="L59" s="10" t="inlineStr"/>
      <c r="M59" s="6" t="inlineStr">
        <is>
          <t>ILLUSTRATIVE 예시 추정치 (검토 필요)</t>
        </is>
      </c>
    </row>
    <row r="60">
      <c r="A60" s="10" t="inlineStr">
        <is>
          <t>cst_side_cost_ratio</t>
        </is>
      </c>
      <c r="B60" s="3" t="inlineStr">
        <is>
          <t>식사·사이드 원가율</t>
        </is>
      </c>
      <c r="C60" s="11" t="n">
        <v>0.3</v>
      </c>
      <c r="D60" s="11" t="n">
        <v>0.35</v>
      </c>
      <c r="E60" s="11" t="n">
        <v>0.45</v>
      </c>
      <c r="F60" s="10" t="inlineStr">
        <is>
          <t>비율</t>
        </is>
      </c>
      <c r="G60" s="10" t="inlineStr">
        <is>
          <t>guesstimate</t>
        </is>
      </c>
      <c r="H60" s="3" t="inlineStr">
        <is>
          <t>식사류 원가율 30–45% 가정 (출처 없음)</t>
        </is>
      </c>
      <c r="I60" s="10" t="inlineStr"/>
      <c r="J60" s="10" t="inlineStr">
        <is>
          <t>L</t>
        </is>
      </c>
      <c r="K60" s="10" t="inlineStr">
        <is>
          <t>AI</t>
        </is>
      </c>
      <c r="L60" s="10" t="inlineStr"/>
      <c r="M60" s="6" t="inlineStr">
        <is>
          <t>ILLUSTRATIVE 예시 추정치 (검토 필요)</t>
        </is>
      </c>
    </row>
    <row r="61">
      <c r="A61" s="10" t="inlineStr">
        <is>
          <t>cst_employee_wage</t>
        </is>
      </c>
      <c r="B61" s="3" t="inlineStr">
        <is>
          <t>정직원 월급</t>
        </is>
      </c>
      <c r="C61" s="15" t="n">
        <v>2156880</v>
      </c>
      <c r="D61" s="15" t="n">
        <v>2400000</v>
      </c>
      <c r="E61" s="15" t="n">
        <v>3000000</v>
      </c>
      <c r="F61" s="10" t="inlineStr">
        <is>
          <t>₩/월</t>
        </is>
      </c>
      <c r="G61" s="10" t="inlineStr">
        <is>
          <t>guesstimate</t>
        </is>
      </c>
      <c r="H61" s="3" t="inlineStr">
        <is>
          <t>최저임금 209h ₩2,156,880 하한 + 주방 경력 가산</t>
        </is>
      </c>
      <c r="I61" s="10" t="inlineStr">
        <is>
          <t>S36</t>
        </is>
      </c>
      <c r="J61" s="10" t="inlineStr">
        <is>
          <t>L</t>
        </is>
      </c>
      <c r="K61" s="10" t="inlineStr">
        <is>
          <t>AI</t>
        </is>
      </c>
      <c r="L61" s="10" t="inlineStr"/>
      <c r="M61" s="6" t="inlineStr">
        <is>
          <t>ILLUSTRATIVE 예시 추정치 (검토 필요)</t>
        </is>
      </c>
    </row>
    <row r="62">
      <c r="A62" s="10" t="inlineStr">
        <is>
          <t>cst_owner_imputed_wage</t>
        </is>
      </c>
      <c r="B62" s="3" t="inlineStr">
        <is>
          <t>대표자 귀속 인건비</t>
        </is>
      </c>
      <c r="C62" s="15" t="n">
        <v>2156880</v>
      </c>
      <c r="D62" s="15" t="n">
        <v>3000000</v>
      </c>
      <c r="E62" s="15" t="n">
        <v>3700000</v>
      </c>
      <c r="F62" s="10" t="inlineStr">
        <is>
          <t>₩/월</t>
        </is>
      </c>
      <c r="G62" s="10" t="inlineStr">
        <is>
          <t>guesstimate</t>
        </is>
      </c>
      <c r="H62" s="3" t="inlineStr">
        <is>
          <t>KREI 대표자 인건비 영업비용의 14.9%(2022) × ≈₩2,500만 ≈ ₩370만 상한; 최저임금 풀타임 하한</t>
        </is>
      </c>
      <c r="I62" s="10" t="inlineStr">
        <is>
          <t>S32;S36</t>
        </is>
      </c>
      <c r="J62" s="10" t="inlineStr">
        <is>
          <t>L</t>
        </is>
      </c>
      <c r="K62" s="10" t="inlineStr">
        <is>
          <t>AI</t>
        </is>
      </c>
      <c r="L62" s="10" t="inlineStr"/>
      <c r="M62" s="6" t="inlineStr">
        <is>
          <t>ILLUSTRATIVE 예시 추정치 (검토 필요)</t>
        </is>
      </c>
    </row>
    <row r="63">
      <c r="A63" s="10" t="inlineStr">
        <is>
          <t>cst_holiday_pay_factor</t>
        </is>
      </c>
      <c r="B63" s="3" t="inlineStr">
        <is>
          <t>주휴·4대보험 계수</t>
        </is>
      </c>
      <c r="C63" s="11" t="n">
        <v>1.2</v>
      </c>
      <c r="D63" s="11" t="n">
        <v>1.33</v>
      </c>
      <c r="E63" s="11" t="n">
        <v>1.43</v>
      </c>
      <c r="F63" s="10" t="inlineStr">
        <is>
          <t>배수</t>
        </is>
      </c>
      <c r="G63" s="10" t="inlineStr">
        <is>
          <t>guesstimate</t>
        </is>
      </c>
      <c r="H63" s="3" t="inlineStr">
        <is>
          <t>주휴 1.20(주 15시간 이상) × 사업주 4대보험 1.108(국민연금 4.75, 건강 3.595, 장기요양, 산재, 고용) ≈ 1.33; 상한은 퇴직금 적립 1/12 추가</t>
        </is>
      </c>
      <c r="I63" s="10" t="inlineStr">
        <is>
          <t>S36;S66;S67</t>
        </is>
      </c>
      <c r="J63" s="10" t="inlineStr">
        <is>
          <t>M</t>
        </is>
      </c>
      <c r="K63" s="10" t="inlineStr">
        <is>
          <t>AI</t>
        </is>
      </c>
      <c r="L63" s="10" t="inlineStr"/>
      <c r="M63" s="6" t="inlineStr">
        <is>
          <t>ILLUSTRATIVE 예시 추정치 (검토 필요)</t>
        </is>
      </c>
    </row>
    <row r="64">
      <c r="A64" s="10" t="inlineStr">
        <is>
          <t>cst_utilities</t>
        </is>
      </c>
      <c r="B64" s="3" t="inlineStr">
        <is>
          <t>공과금·가스·숯</t>
        </is>
      </c>
      <c r="C64" s="15" t="n">
        <v>1200000</v>
      </c>
      <c r="D64" s="15" t="n">
        <v>1700000</v>
      </c>
      <c r="E64" s="15" t="n">
        <v>2300000</v>
      </c>
      <c r="F64" s="10" t="inlineStr">
        <is>
          <t>₩/월</t>
        </is>
      </c>
      <c r="G64" s="10" t="inlineStr">
        <is>
          <t>guesstimate</t>
        </is>
      </c>
      <c r="H64" s="3" t="inlineStr">
        <is>
          <t>숯·가스·전기·수도; KREI 잔여 비용(매출 14%) 중 약 6%</t>
        </is>
      </c>
      <c r="I64" s="10" t="inlineStr">
        <is>
          <t>S31</t>
        </is>
      </c>
      <c r="J64" s="10" t="inlineStr">
        <is>
          <t>L</t>
        </is>
      </c>
      <c r="K64" s="10" t="inlineStr">
        <is>
          <t>AI</t>
        </is>
      </c>
      <c r="L64" s="10" t="inlineStr"/>
      <c r="M64" s="6" t="inlineStr">
        <is>
          <t>ILLUSTRATIVE 예시 추정치 (검토 필요)</t>
        </is>
      </c>
    </row>
    <row r="65">
      <c r="A65" s="10" t="inlineStr">
        <is>
          <t>cst_other_opex</t>
        </is>
      </c>
      <c r="B65" s="3" t="inlineStr">
        <is>
          <t>기타경비</t>
        </is>
      </c>
      <c r="C65" s="15" t="n">
        <v>1000000</v>
      </c>
      <c r="D65" s="15" t="n">
        <v>1500000</v>
      </c>
      <c r="E65" s="15" t="n">
        <v>2200000</v>
      </c>
      <c r="F65" s="10" t="inlineStr">
        <is>
          <t>₩/월</t>
        </is>
      </c>
      <c r="G65" s="10" t="inlineStr">
        <is>
          <t>guesstimate</t>
        </is>
      </c>
      <c r="H65" s="3" t="inlineStr">
        <is>
          <t>소모품·세탁·보험·세무·마케팅; KREI 잔여 비용 중 약 5.5%</t>
        </is>
      </c>
      <c r="I65" s="10" t="inlineStr">
        <is>
          <t>S31</t>
        </is>
      </c>
      <c r="J65" s="10" t="inlineStr">
        <is>
          <t>L</t>
        </is>
      </c>
      <c r="K65" s="10" t="inlineStr">
        <is>
          <t>AI</t>
        </is>
      </c>
      <c r="L65" s="10" t="inlineStr"/>
      <c r="M65" s="6" t="inlineStr">
        <is>
          <t>ILLUSTRATIVE 예시 추정치 (검토 필요)</t>
        </is>
      </c>
    </row>
    <row r="66">
      <c r="A66" s="10" t="inlineStr">
        <is>
          <t>cst_card_share</t>
        </is>
      </c>
      <c r="B66" s="3" t="inlineStr">
        <is>
          <t>카드결제 비중</t>
        </is>
      </c>
      <c r="C66" s="11" t="n">
        <v>0.8</v>
      </c>
      <c r="D66" s="11" t="n">
        <v>0.88</v>
      </c>
      <c r="E66" s="11" t="n">
        <v>0.95</v>
      </c>
      <c r="F66" s="10" t="inlineStr">
        <is>
          <t>비율</t>
        </is>
      </c>
      <c r="G66" s="10" t="inlineStr">
        <is>
          <t>guesstimate</t>
        </is>
      </c>
      <c r="H66" s="3" t="inlineStr">
        <is>
          <t>한국은행 지급수단 조사: 카드 결제 건수 비중 75.5%(S65); 저녁 객단가가 커서 카드 비중이 더 높다고 보고 88%</t>
        </is>
      </c>
      <c r="I66" s="10" t="inlineStr">
        <is>
          <t>S65</t>
        </is>
      </c>
      <c r="J66" s="10" t="inlineStr">
        <is>
          <t>M</t>
        </is>
      </c>
      <c r="K66" s="10" t="inlineStr">
        <is>
          <t>AI</t>
        </is>
      </c>
      <c r="L66" s="10" t="inlineStr"/>
      <c r="M66" s="6" t="inlineStr">
        <is>
          <t>ILLUSTRATIVE 예시 추정치 (검토 필요)</t>
        </is>
      </c>
    </row>
    <row r="67">
      <c r="A67" s="10" t="inlineStr">
        <is>
          <t>cst_card_fee_rate</t>
        </is>
      </c>
      <c r="B67" s="3" t="inlineStr">
        <is>
          <t>카드수수료율</t>
        </is>
      </c>
      <c r="C67" s="11" t="n">
        <v>0.004</v>
      </c>
      <c r="D67" s="11" t="n">
        <v>0.0095</v>
      </c>
      <c r="E67" s="11" t="n">
        <v>0.0115</v>
      </c>
      <c r="F67" s="10" t="inlineStr">
        <is>
          <t>비율</t>
        </is>
      </c>
      <c r="G67" s="10" t="inlineStr">
        <is>
          <t>guesstimate</t>
        </is>
      </c>
      <c r="H67" s="3" t="inlineStr">
        <is>
          <t>연매출 3억~5억 구간 우대수수료 신용 1.00%·체크 0.75%(S63) × 신용:체크 74:26(S65) = 0.935% → 간편결제 감안 0.95%</t>
        </is>
      </c>
      <c r="I67" s="10" t="inlineStr">
        <is>
          <t>S63;S65</t>
        </is>
      </c>
      <c r="J67" s="10" t="inlineStr">
        <is>
          <t>H</t>
        </is>
      </c>
      <c r="K67" s="10" t="inlineStr">
        <is>
          <t>AI</t>
        </is>
      </c>
      <c r="L67" s="10" t="inlineStr"/>
      <c r="M67" s="6" t="inlineStr">
        <is>
          <t>ILLUSTRATIVE 예시 추정치 (검토 필요)</t>
        </is>
      </c>
    </row>
    <row r="68">
      <c r="A68" s="10" t="inlineStr">
        <is>
          <t>sto_area_pyeong</t>
        </is>
      </c>
      <c r="B68" s="3" t="inlineStr">
        <is>
          <t>가게 평수</t>
        </is>
      </c>
      <c r="C68" s="11" t="n">
        <v>18</v>
      </c>
      <c r="D68" s="11" t="n">
        <v>25</v>
      </c>
      <c r="E68" s="11" t="n">
        <v>35</v>
      </c>
      <c r="F68" s="10" t="inlineStr">
        <is>
          <t>평</t>
        </is>
      </c>
      <c r="G68" s="10" t="inlineStr">
        <is>
          <t>guesstimate</t>
        </is>
      </c>
      <c r="H68" s="3" t="inlineStr">
        <is>
          <t>30평 15테이블 사례(S34)보다 작은 골목 독립점; 인허가 소재지면적 중앙값으로 교체 예정</t>
        </is>
      </c>
      <c r="I68" s="10" t="inlineStr">
        <is>
          <t>S34;S21</t>
        </is>
      </c>
      <c r="J68" s="10" t="inlineStr">
        <is>
          <t>L</t>
        </is>
      </c>
      <c r="K68" s="10" t="inlineStr">
        <is>
          <t>AI</t>
        </is>
      </c>
      <c r="L68" s="10" t="inlineStr"/>
      <c r="M68" s="6" t="inlineStr">
        <is>
          <t>ILLUSTRATIVE 예시 추정치 (검토 필요)</t>
        </is>
      </c>
    </row>
    <row r="69">
      <c r="A69" s="10" t="inlineStr">
        <is>
          <t>sto_tables</t>
        </is>
      </c>
      <c r="B69" s="3" t="inlineStr">
        <is>
          <t>테이블 수</t>
        </is>
      </c>
      <c r="C69" s="11" t="n">
        <v>8</v>
      </c>
      <c r="D69" s="11" t="n">
        <v>10</v>
      </c>
      <c r="E69" s="11" t="n">
        <v>14</v>
      </c>
      <c r="F69" s="10" t="inlineStr">
        <is>
          <t>개</t>
        </is>
      </c>
      <c r="G69" s="10" t="inlineStr">
        <is>
          <t>guesstimate</t>
        </is>
      </c>
      <c r="H69" s="3" t="inlineStr">
        <is>
          <t>25평 ≈ 30평/15테이블(S34) 비례 12 → 주방·통로 감안 10</t>
        </is>
      </c>
      <c r="I69" s="10" t="inlineStr">
        <is>
          <t>S34</t>
        </is>
      </c>
      <c r="J69" s="10" t="inlineStr">
        <is>
          <t>L</t>
        </is>
      </c>
      <c r="K69" s="10" t="inlineStr">
        <is>
          <t>AI</t>
        </is>
      </c>
      <c r="L69" s="10" t="inlineStr"/>
      <c r="M69" s="6" t="inlineStr">
        <is>
          <t>ILLUSTRATIVE 예시 추정치 (검토 필요)</t>
        </is>
      </c>
    </row>
    <row r="70">
      <c r="A70" s="10" t="inlineStr">
        <is>
          <t>sto_seats_per_table</t>
        </is>
      </c>
      <c r="B70" s="3" t="inlineStr">
        <is>
          <t>테이블당 의자 수</t>
        </is>
      </c>
      <c r="C70" s="11" t="n">
        <v>4</v>
      </c>
      <c r="D70" s="11" t="n">
        <v>4</v>
      </c>
      <c r="E70" s="11" t="n">
        <v>4</v>
      </c>
      <c r="F70" s="10" t="inlineStr">
        <is>
          <t>석/테이블</t>
        </is>
      </c>
      <c r="G70" s="10" t="inlineStr">
        <is>
          <t>guesstimate</t>
        </is>
      </c>
      <c r="H70" s="3" t="inlineStr">
        <is>
          <t>60석 ÷ 15테이블 = 4</t>
        </is>
      </c>
      <c r="I70" s="10" t="inlineStr">
        <is>
          <t>S34</t>
        </is>
      </c>
      <c r="J70" s="10" t="inlineStr">
        <is>
          <t>M</t>
        </is>
      </c>
      <c r="K70" s="10" t="inlineStr">
        <is>
          <t>AI</t>
        </is>
      </c>
      <c r="L70" s="10" t="inlineStr"/>
      <c r="M70" s="6" t="inlineStr">
        <is>
          <t>ILLUSTRATIVE 예시 추정치 (검토 필요)</t>
        </is>
      </c>
    </row>
    <row r="71">
      <c r="A71" s="10" t="inlineStr">
        <is>
          <t>sto_terrace</t>
        </is>
      </c>
      <c r="B71" s="3" t="inlineStr">
        <is>
          <t>야장 좌석</t>
        </is>
      </c>
      <c r="C71" s="11" t="n">
        <v>0</v>
      </c>
      <c r="D71" s="11" t="n">
        <v>8</v>
      </c>
      <c r="E71" s="11" t="n">
        <v>12</v>
      </c>
      <c r="F71" s="10" t="inlineStr">
        <is>
          <t>석</t>
        </is>
      </c>
      <c r="G71" s="10" t="inlineStr">
        <is>
          <t>guesstimate</t>
        </is>
      </c>
      <c r="H71" s="3" t="inlineStr">
        <is>
          <t>야장 2테이블 × 4석 가정 (출처 없음)</t>
        </is>
      </c>
      <c r="I71" s="10" t="inlineStr"/>
      <c r="J71" s="10" t="inlineStr">
        <is>
          <t>L</t>
        </is>
      </c>
      <c r="K71" s="10" t="inlineStr">
        <is>
          <t>AI</t>
        </is>
      </c>
      <c r="L71" s="10" t="inlineStr"/>
      <c r="M71" s="6" t="inlineStr">
        <is>
          <t>ILLUSTRATIVE 예시 추정치 (검토 필요)</t>
        </is>
      </c>
    </row>
    <row r="72">
      <c r="A72" s="10" t="inlineStr">
        <is>
          <t>sto_terrace_availability</t>
        </is>
      </c>
      <c r="B72" s="3" t="inlineStr">
        <is>
          <t>야장 가용률</t>
        </is>
      </c>
      <c r="C72" s="11" t="n">
        <v>0</v>
      </c>
      <c r="D72" s="11" t="n">
        <v>0.4</v>
      </c>
      <c r="E72" s="11" t="n">
        <v>0.6</v>
      </c>
      <c r="F72" s="10" t="inlineStr">
        <is>
          <t>비율</t>
        </is>
      </c>
      <c r="G72" s="10" t="inlineStr">
        <is>
          <t>guesstimate</t>
        </is>
      </c>
      <c r="H72" s="3" t="inlineStr">
        <is>
          <t>봄·가을 영업, 비·겨울 제외 → 월평균 40% 가정</t>
        </is>
      </c>
      <c r="I72" s="10" t="inlineStr"/>
      <c r="J72" s="10" t="inlineStr">
        <is>
          <t>L</t>
        </is>
      </c>
      <c r="K72" s="10" t="inlineStr">
        <is>
          <t>AI</t>
        </is>
      </c>
      <c r="L72" s="10" t="inlineStr"/>
      <c r="M72" s="6" t="inlineStr">
        <is>
          <t>ILLUSTRATIVE 예시 추정치 (검토 필요)</t>
        </is>
      </c>
    </row>
    <row r="73">
      <c r="A73" s="10" t="inlineStr">
        <is>
          <t>wx_rain_nights_share</t>
        </is>
      </c>
      <c r="B73" s="3" t="inlineStr">
        <is>
          <t>비 오는 밤 비율</t>
        </is>
      </c>
      <c r="C73" s="16" t="n">
        <v>0</v>
      </c>
      <c r="D73" s="16" t="n">
        <v>0</v>
      </c>
      <c r="E73" s="16" t="n">
        <v>0.35</v>
      </c>
      <c r="F73" s="10" t="inlineStr">
        <is>
          <t>비율</t>
        </is>
      </c>
      <c r="G73" s="10" t="inlineStr">
        <is>
          <t>public</t>
        </is>
      </c>
      <c r="H73" s="3" t="inlineStr">
        <is>
          <t>기준 달은 날씨를 야장 가용률에만 반영해 0. 비 충격 SH10은 기상청 10월 전국 평년 강수일수 5.9일 ÷ 31일 = 0.19 (2024년 10월은 11일 = 0.35)</t>
        </is>
      </c>
      <c r="I73" s="10" t="inlineStr">
        <is>
          <t>S75</t>
        </is>
      </c>
      <c r="J73" s="10" t="inlineStr">
        <is>
          <t>H</t>
        </is>
      </c>
      <c r="K73" s="10" t="inlineStr">
        <is>
          <t>AI</t>
        </is>
      </c>
      <c r="L73" s="10" t="inlineStr"/>
      <c r="M73" s="3" t="inlineStr">
        <is>
          <t>공공데이터/공식 수치</t>
        </is>
      </c>
    </row>
    <row r="74">
      <c r="A74" s="10" t="inlineStr">
        <is>
          <t>wx_rain_arrival_effect</t>
        </is>
      </c>
      <c r="B74" s="3" t="inlineStr">
        <is>
          <t>비 오는 밤 손님 변화</t>
        </is>
      </c>
      <c r="C74" s="11" t="n">
        <v>-0.15</v>
      </c>
      <c r="D74" s="11" t="n">
        <v>-0.1</v>
      </c>
      <c r="E74" s="11" t="n">
        <v>-0.05</v>
      </c>
      <c r="F74" s="10" t="inlineStr">
        <is>
          <t>비율</t>
        </is>
      </c>
      <c r="G74" s="10" t="inlineStr">
        <is>
          <t>guesstimate</t>
        </is>
      </c>
      <c r="H74" s="3" t="inlineStr">
        <is>
          <t>비 오는 밤 거리 유입 10% 감소 가정 (출처 없음)</t>
        </is>
      </c>
      <c r="I74" s="10" t="inlineStr"/>
      <c r="J74" s="10" t="inlineStr">
        <is>
          <t>L</t>
        </is>
      </c>
      <c r="K74" s="10" t="inlineStr">
        <is>
          <t>AI</t>
        </is>
      </c>
      <c r="L74" s="10" t="inlineStr"/>
      <c r="M74" s="6" t="inlineStr">
        <is>
          <t>ILLUSTRATIVE 예시 추정치 (검토 필요)</t>
        </is>
      </c>
    </row>
    <row r="75">
      <c r="A75" s="10" t="inlineStr">
        <is>
          <t>sto_occupancy</t>
        </is>
      </c>
      <c r="B75" s="3" t="inlineStr">
        <is>
          <t>좌석 점유율 (착석 시)</t>
        </is>
      </c>
      <c r="C75" s="11" t="n">
        <v>0.6</v>
      </c>
      <c r="D75" s="11" t="n">
        <v>0.7</v>
      </c>
      <c r="E75" s="11" t="n">
        <v>0.8</v>
      </c>
      <c r="F75" s="10" t="inlineStr">
        <is>
          <t>비율</t>
        </is>
      </c>
      <c r="G75" s="10" t="inlineStr">
        <is>
          <t>guesstimate</t>
        </is>
      </c>
      <c r="H75" s="3" t="inlineStr">
        <is>
          <t>일행 2.8명 ÷ 4인석 = 0.70</t>
        </is>
      </c>
      <c r="I75" s="10" t="inlineStr"/>
      <c r="J75" s="10" t="inlineStr">
        <is>
          <t>L</t>
        </is>
      </c>
      <c r="K75" s="10" t="inlineStr">
        <is>
          <t>AI</t>
        </is>
      </c>
      <c r="L75" s="10" t="inlineStr"/>
      <c r="M75" s="6" t="inlineStr">
        <is>
          <t>ILLUSTRATIVE 예시 추정치 (검토 필요)</t>
        </is>
      </c>
    </row>
    <row r="76">
      <c r="A76" s="10" t="inlineStr">
        <is>
          <t>sto_table_turns</t>
        </is>
      </c>
      <c r="B76" s="3" t="inlineStr">
        <is>
          <t>순환률 (회전율)</t>
        </is>
      </c>
      <c r="C76" s="11" t="n">
        <v>0.9</v>
      </c>
      <c r="D76" s="11" t="n">
        <v>1.25</v>
      </c>
      <c r="E76" s="11" t="n">
        <v>2</v>
      </c>
      <c r="F76" s="10" t="inlineStr">
        <is>
          <t>회/일</t>
        </is>
      </c>
      <c r="G76" s="10" t="inlineStr">
        <is>
          <t>guesstimate</t>
        </is>
      </c>
      <c r="H76" s="3" t="inlineStr">
        <is>
          <t>주말 ~2회 + 평일 ~1회 → 요일 평균 1.25; '3회+'는 미검증 블로그(S30) 상한 참고</t>
        </is>
      </c>
      <c r="I76" s="10" t="inlineStr">
        <is>
          <t>S30</t>
        </is>
      </c>
      <c r="J76" s="10" t="inlineStr">
        <is>
          <t>L</t>
        </is>
      </c>
      <c r="K76" s="10" t="inlineStr">
        <is>
          <t>AI</t>
        </is>
      </c>
      <c r="L76" s="10" t="inlineStr"/>
      <c r="M76" s="6" t="inlineStr">
        <is>
          <t>ILLUSTRATIVE 예시 추정치 (검토 필요)</t>
        </is>
      </c>
    </row>
    <row r="77">
      <c r="A77" s="10" t="inlineStr">
        <is>
          <t>sto_open_days</t>
        </is>
      </c>
      <c r="B77" s="3" t="inlineStr">
        <is>
          <t>월 영업일수</t>
        </is>
      </c>
      <c r="C77" s="11" t="n">
        <v>24</v>
      </c>
      <c r="D77" s="11" t="n">
        <v>26</v>
      </c>
      <c r="E77" s="11" t="n">
        <v>30</v>
      </c>
      <c r="F77" s="10" t="inlineStr">
        <is>
          <t>일/월</t>
        </is>
      </c>
      <c r="G77" s="10" t="inlineStr">
        <is>
          <t>guesstimate</t>
        </is>
      </c>
      <c r="H77" s="3" t="inlineStr">
        <is>
          <t>주 1회 휴무 가정</t>
        </is>
      </c>
      <c r="I77" s="10" t="inlineStr"/>
      <c r="J77" s="10" t="inlineStr">
        <is>
          <t>L</t>
        </is>
      </c>
      <c r="K77" s="10" t="inlineStr">
        <is>
          <t>AI</t>
        </is>
      </c>
      <c r="L77" s="10" t="inlineStr"/>
      <c r="M77" s="6" t="inlineStr">
        <is>
          <t>ILLUSTRATIVE 예시 추정치 (검토 필요)</t>
        </is>
      </c>
    </row>
    <row r="78">
      <c r="A78" s="10" t="inlineStr">
        <is>
          <t>sto_parttimers</t>
        </is>
      </c>
      <c r="B78" s="3" t="inlineStr">
        <is>
          <t>알바생 수 (교대당)</t>
        </is>
      </c>
      <c r="C78" s="11" t="n">
        <v>1</v>
      </c>
      <c r="D78" s="11" t="n">
        <v>2</v>
      </c>
      <c r="E78" s="11" t="n">
        <v>3</v>
      </c>
      <c r="F78" s="10" t="inlineStr">
        <is>
          <t>명</t>
        </is>
      </c>
      <c r="G78" s="10" t="inlineStr">
        <is>
          <t>guesstimate</t>
        </is>
      </c>
      <c r="H78" s="3" t="inlineStr">
        <is>
          <t>KREI 육류구이 평균 종사자 3.2명: 대표 + 정직원 1 + 교대당 알바 2</t>
        </is>
      </c>
      <c r="I78" s="10" t="inlineStr">
        <is>
          <t>S31</t>
        </is>
      </c>
      <c r="J78" s="10" t="inlineStr">
        <is>
          <t>L</t>
        </is>
      </c>
      <c r="K78" s="10" t="inlineStr">
        <is>
          <t>AI</t>
        </is>
      </c>
      <c r="L78" s="10" t="inlineStr"/>
      <c r="M78" s="6" t="inlineStr">
        <is>
          <t>ILLUSTRATIVE 예시 추정치 (검토 필요)</t>
        </is>
      </c>
    </row>
    <row r="79">
      <c r="A79" s="10" t="inlineStr">
        <is>
          <t>sto_parttime_wage</t>
        </is>
      </c>
      <c r="B79" s="3" t="inlineStr">
        <is>
          <t>알바생 시급</t>
        </is>
      </c>
      <c r="C79" s="14" t="n"/>
      <c r="D79" s="12" t="n">
        <v>10320</v>
      </c>
      <c r="E79" s="14" t="n"/>
      <c r="F79" s="10" t="inlineStr">
        <is>
          <t>₩/시간</t>
        </is>
      </c>
      <c r="G79" s="10" t="inlineStr">
        <is>
          <t>public</t>
        </is>
      </c>
      <c r="H79" s="3" t="inlineStr">
        <is>
          <t>2026 최저임금 ₩10,320</t>
        </is>
      </c>
      <c r="I79" s="10" t="inlineStr">
        <is>
          <t>S36</t>
        </is>
      </c>
      <c r="J79" s="10" t="inlineStr">
        <is>
          <t>H</t>
        </is>
      </c>
      <c r="K79" s="10" t="inlineStr">
        <is>
          <t>AI</t>
        </is>
      </c>
      <c r="L79" s="10" t="inlineStr"/>
      <c r="M79" s="3" t="inlineStr">
        <is>
          <t>공공데이터/공식 수치</t>
        </is>
      </c>
    </row>
    <row r="80">
      <c r="A80" s="10" t="inlineStr">
        <is>
          <t>sto_parttime_shift_hours</t>
        </is>
      </c>
      <c r="B80" s="3" t="inlineStr">
        <is>
          <t>알바 근무시간 (교대)</t>
        </is>
      </c>
      <c r="C80" s="11" t="n">
        <v>4</v>
      </c>
      <c r="D80" s="11" t="n">
        <v>5</v>
      </c>
      <c r="E80" s="11" t="n">
        <v>7</v>
      </c>
      <c r="F80" s="10" t="inlineStr">
        <is>
          <t>시간/일</t>
        </is>
      </c>
      <c r="G80" s="10" t="inlineStr">
        <is>
          <t>guesstimate</t>
        </is>
      </c>
      <c r="H80" s="3" t="inlineStr">
        <is>
          <t>피크 18–23시 커버 가정</t>
        </is>
      </c>
      <c r="I80" s="10" t="inlineStr"/>
      <c r="J80" s="10" t="inlineStr">
        <is>
          <t>L</t>
        </is>
      </c>
      <c r="K80" s="10" t="inlineStr">
        <is>
          <t>AI</t>
        </is>
      </c>
      <c r="L80" s="10" t="inlineStr"/>
      <c r="M80" s="6" t="inlineStr">
        <is>
          <t>ILLUSTRATIVE 예시 추정치 (검토 필요)</t>
        </is>
      </c>
    </row>
    <row r="81">
      <c r="A81" s="10" t="inlineStr">
        <is>
          <t>sto_employees</t>
        </is>
      </c>
      <c r="B81" s="3" t="inlineStr">
        <is>
          <t>정직원 수</t>
        </is>
      </c>
      <c r="C81" s="11" t="n">
        <v>0</v>
      </c>
      <c r="D81" s="11" t="n">
        <v>1</v>
      </c>
      <c r="E81" s="11" t="n">
        <v>2</v>
      </c>
      <c r="F81" s="10" t="inlineStr">
        <is>
          <t>명</t>
        </is>
      </c>
      <c r="G81" s="10" t="inlineStr">
        <is>
          <t>guesstimate</t>
        </is>
      </c>
      <c r="H81" s="3" t="inlineStr">
        <is>
          <t>KREI 평균 3.2명 중 대표·알바 제외 1명</t>
        </is>
      </c>
      <c r="I81" s="10" t="inlineStr">
        <is>
          <t>S31</t>
        </is>
      </c>
      <c r="J81" s="10" t="inlineStr">
        <is>
          <t>L</t>
        </is>
      </c>
      <c r="K81" s="10" t="inlineStr">
        <is>
          <t>AI</t>
        </is>
      </c>
      <c r="L81" s="10" t="inlineStr"/>
      <c r="M81" s="6" t="inlineStr">
        <is>
          <t>ILLUSTRATIVE 예시 추정치 (검토 필요)</t>
        </is>
      </c>
    </row>
    <row r="82">
      <c r="A82" s="10" t="inlineStr">
        <is>
          <t>sto_wifi</t>
        </is>
      </c>
      <c r="B82" s="3" t="inlineStr">
        <is>
          <t>와이파이 유무</t>
        </is>
      </c>
      <c r="C82" s="13" t="inlineStr">
        <is>
          <t>N</t>
        </is>
      </c>
      <c r="D82" s="13" t="inlineStr">
        <is>
          <t>Y</t>
        </is>
      </c>
      <c r="E82" s="13" t="inlineStr">
        <is>
          <t>Y</t>
        </is>
      </c>
      <c r="F82" s="10" t="inlineStr">
        <is>
          <t>Y/N</t>
        </is>
      </c>
      <c r="G82" s="10" t="inlineStr">
        <is>
          <t>guesstimate</t>
        </is>
      </c>
      <c r="H82" s="3" t="inlineStr">
        <is>
          <t>대부분 매장 제공 가정 (BBQ에서는 영향 작음)</t>
        </is>
      </c>
      <c r="I82" s="10" t="inlineStr"/>
      <c r="J82" s="10" t="inlineStr">
        <is>
          <t>L</t>
        </is>
      </c>
      <c r="K82" s="10" t="inlineStr">
        <is>
          <t>AI</t>
        </is>
      </c>
      <c r="L82" s="10" t="inlineStr"/>
      <c r="M82" s="6" t="inlineStr">
        <is>
          <t>ILLUSTRATIVE 예시 추정치 (검토 필요)</t>
        </is>
      </c>
    </row>
    <row r="83">
      <c r="A83" s="10" t="inlineStr">
        <is>
          <t>sto_franchise</t>
        </is>
      </c>
      <c r="B83" s="3" t="inlineStr">
        <is>
          <t>프랜차이즈 or 개인</t>
        </is>
      </c>
      <c r="C83" s="14" t="inlineStr">
        <is>
          <t>개인</t>
        </is>
      </c>
      <c r="D83" s="14" t="inlineStr">
        <is>
          <t>개인</t>
        </is>
      </c>
      <c r="E83" s="14" t="inlineStr">
        <is>
          <t>개인</t>
        </is>
      </c>
      <c r="F83" s="10" t="inlineStr">
        <is>
          <t>범주</t>
        </is>
      </c>
      <c r="G83" s="10" t="inlineStr">
        <is>
          <t>public</t>
        </is>
      </c>
      <c r="H83" s="3" t="inlineStr">
        <is>
          <t>hero = 독립점 (범위 정의); 지구 모집단은 지점명으로 구분</t>
        </is>
      </c>
      <c r="I83" s="10" t="inlineStr">
        <is>
          <t>D0930;S20</t>
        </is>
      </c>
      <c r="J83" s="10" t="inlineStr">
        <is>
          <t>H</t>
        </is>
      </c>
      <c r="K83" s="10" t="inlineStr">
        <is>
          <t>AI</t>
        </is>
      </c>
      <c r="L83" s="10" t="inlineStr"/>
      <c r="M83" s="3" t="inlineStr">
        <is>
          <t>공공데이터/공식 수치</t>
        </is>
      </c>
    </row>
  </sheetData>
  <autoFilter ref="A1:M83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14" customWidth="1" min="3" max="3"/>
    <col width="18" customWidth="1" min="4" max="4"/>
    <col width="14" customWidth="1" min="5" max="5"/>
    <col width="11" customWidth="1" min="6" max="6"/>
    <col width="32" customWidth="1" min="7" max="7"/>
    <col width="13" customWidth="1" min="8" max="8"/>
    <col width="36" customWidth="1" min="9" max="9"/>
  </cols>
  <sheetData>
    <row r="1">
      <c r="A1" s="8" t="inlineStr">
        <is>
          <t>bench_id</t>
        </is>
      </c>
      <c r="B1" s="8" t="inlineStr">
        <is>
          <t>name_ko</t>
        </is>
      </c>
      <c r="C1" s="8" t="inlineStr">
        <is>
          <t>low</t>
        </is>
      </c>
      <c r="D1" s="8" t="inlineStr">
        <is>
          <t>value</t>
        </is>
      </c>
      <c r="E1" s="8" t="inlineStr">
        <is>
          <t>high</t>
        </is>
      </c>
      <c r="F1" s="8" t="inlineStr">
        <is>
          <t>unit</t>
        </is>
      </c>
      <c r="G1" s="8" t="inlineStr">
        <is>
          <t>basis</t>
        </is>
      </c>
      <c r="H1" s="8" t="inlineStr">
        <is>
          <t>source_id</t>
        </is>
      </c>
      <c r="I1" s="8" t="inlineStr">
        <is>
          <t>note</t>
        </is>
      </c>
    </row>
    <row r="2">
      <c r="A2" s="10" t="inlineStr">
        <is>
          <t>BM01</t>
        </is>
      </c>
      <c r="B2" s="3" t="inlineStr">
        <is>
          <t>대학로 한식 연 카드매출 (2025)</t>
        </is>
      </c>
      <c r="C2" s="17" t="n"/>
      <c r="D2" s="17" t="n">
        <v>59090000000</v>
      </c>
      <c r="E2" s="17" t="n"/>
      <c r="F2" s="10" t="inlineStr">
        <is>
          <t>₩/년</t>
        </is>
      </c>
      <c r="G2" s="3" t="inlineStr">
        <is>
          <t>3120012 × CS100001, 2025 4개 분기 합</t>
        </is>
      </c>
      <c r="H2" s="10" t="inlineStr">
        <is>
          <t>S12</t>
        </is>
      </c>
      <c r="I2" s="3" t="inlineStr">
        <is>
          <t>2026-09-30 실측(파이프라인); 연구 파일 반올림 ₩591억</t>
        </is>
      </c>
    </row>
    <row r="3">
      <c r="A3" s="10" t="inlineStr">
        <is>
          <t>BM02</t>
        </is>
      </c>
      <c r="B3" s="3" t="inlineStr">
        <is>
          <t>대학로 한식 점포수 (2025Q4)</t>
        </is>
      </c>
      <c r="C3" s="18" t="n"/>
      <c r="D3" s="18" t="n">
        <v>191</v>
      </c>
      <c r="E3" s="18" t="n"/>
      <c r="F3" s="10" t="inlineStr">
        <is>
          <t>개</t>
        </is>
      </c>
      <c r="G3" s="3" t="inlineStr">
        <is>
          <t>3120012 × CS100001</t>
        </is>
      </c>
      <c r="H3" s="10" t="inlineStr">
        <is>
          <t>S13</t>
        </is>
      </c>
      <c r="I3" s="3" t="inlineStr">
        <is>
          <t>프랜차이즈 31</t>
        </is>
      </c>
    </row>
    <row r="4">
      <c r="A4" s="10" t="inlineStr">
        <is>
          <t>BM03</t>
        </is>
      </c>
      <c r="B4" s="3" t="inlineStr">
        <is>
          <t>점포당 월매출 앵커</t>
        </is>
      </c>
      <c r="C4" s="17" t="n"/>
      <c r="D4" s="19">
        <f>$D$2/$D$3/12</f>
        <v/>
      </c>
      <c r="E4" s="17" t="n"/>
      <c r="F4" s="10" t="inlineStr">
        <is>
          <t>₩/월</t>
        </is>
      </c>
      <c r="G4" s="3" t="inlineStr">
        <is>
          <t>BM01 ÷ BM02 ÷ 12</t>
        </is>
      </c>
      <c r="H4" s="10" t="inlineStr">
        <is>
          <t>S12;S13</t>
        </is>
      </c>
      <c r="I4" s="3" t="inlineStr">
        <is>
          <t>보정 목표 (≈₩2,580만)</t>
        </is>
      </c>
    </row>
    <row r="5">
      <c r="A5" s="10" t="inlineStr">
        <is>
          <t>BM04</t>
        </is>
      </c>
      <c r="B5" s="3" t="inlineStr">
        <is>
          <t>소형 독립 삼겹살집 월매출 prior</t>
        </is>
      </c>
      <c r="C5" s="17" t="n">
        <v>20000000</v>
      </c>
      <c r="D5" s="17" t="n"/>
      <c r="E5" s="17" t="n">
        <v>50000000</v>
      </c>
      <c r="F5" s="10" t="inlineStr">
        <is>
          <t>₩/월</t>
        </is>
      </c>
      <c r="G5" s="3" t="inlineStr">
        <is>
          <t>전국 평균·사례 기반 working prior</t>
        </is>
      </c>
      <c r="H5" s="10" t="inlineStr">
        <is>
          <t>S33;S34;S35</t>
        </is>
      </c>
      <c r="I5" s="3" t="inlineStr">
        <is>
          <t>서울 돼지고기 통계로는 미검증</t>
        </is>
      </c>
    </row>
    <row r="6">
      <c r="A6" s="10" t="inlineStr">
        <is>
          <t>BM05</t>
        </is>
      </c>
      <c r="B6" s="3" t="inlineStr">
        <is>
          <t>전국 육류구이 연매출 (2018)</t>
        </is>
      </c>
      <c r="C6" s="17" t="n"/>
      <c r="D6" s="17" t="n">
        <v>225600000</v>
      </c>
      <c r="E6" s="17" t="n"/>
      <c r="F6" s="10" t="inlineStr">
        <is>
          <t>₩/년</t>
        </is>
      </c>
      <c r="G6" s="3" t="inlineStr">
        <is>
          <t>KREI 한식 육류요리전문점</t>
        </is>
      </c>
      <c r="H6" s="10" t="inlineStr">
        <is>
          <t>S31</t>
        </is>
      </c>
      <c r="I6" s="3" t="inlineStr"/>
    </row>
    <row r="7">
      <c r="A7" s="10" t="inlineStr">
        <is>
          <t>BM06</t>
        </is>
      </c>
      <c r="B7" s="3" t="inlineStr">
        <is>
          <t>전국 육류구이 월매출 (2018)</t>
        </is>
      </c>
      <c r="C7" s="17" t="n"/>
      <c r="D7" s="19">
        <f>$D$6/12</f>
        <v/>
      </c>
      <c r="E7" s="17" t="n"/>
      <c r="F7" s="10" t="inlineStr">
        <is>
          <t>₩/월</t>
        </is>
      </c>
      <c r="G7" s="3" t="inlineStr">
        <is>
          <t>BM05 ÷ 12</t>
        </is>
      </c>
      <c r="H7" s="10" t="inlineStr">
        <is>
          <t>S31</t>
        </is>
      </c>
      <c r="I7" s="3" t="inlineStr">
        <is>
          <t>≈₩1,880만</t>
        </is>
      </c>
    </row>
    <row r="8">
      <c r="A8" s="10" t="inlineStr">
        <is>
          <t>BM07</t>
        </is>
      </c>
      <c r="B8" s="3" t="inlineStr">
        <is>
          <t>대학로 한식 저녁(17–24) 매출 비중</t>
        </is>
      </c>
      <c r="C8" s="20" t="n">
        <v>0.62</v>
      </c>
      <c r="D8" s="20" t="n">
        <v>0.63</v>
      </c>
      <c r="E8" s="20" t="n">
        <v>0.64</v>
      </c>
      <c r="F8" s="10" t="inlineStr">
        <is>
          <t>비율</t>
        </is>
      </c>
      <c r="G8" s="3" t="inlineStr">
        <is>
          <t>2025</t>
        </is>
      </c>
      <c r="H8" s="10" t="inlineStr">
        <is>
          <t>S12</t>
        </is>
      </c>
      <c r="I8" s="3" t="inlineStr"/>
    </row>
    <row r="9">
      <c r="A9" s="10" t="inlineStr">
        <is>
          <t>BM08</t>
        </is>
      </c>
      <c r="B9" s="3" t="inlineStr">
        <is>
          <t>대학로 한식 20대 매출 비중</t>
        </is>
      </c>
      <c r="C9" s="20" t="n"/>
      <c r="D9" s="20" t="n">
        <v>0.28</v>
      </c>
      <c r="E9" s="20" t="n"/>
      <c r="F9" s="10" t="inlineStr">
        <is>
          <t>비율</t>
        </is>
      </c>
      <c r="G9" s="3" t="inlineStr">
        <is>
          <t>2025</t>
        </is>
      </c>
      <c r="H9" s="10" t="inlineStr">
        <is>
          <t>S12</t>
        </is>
      </c>
      <c r="I9" s="3" t="inlineStr">
        <is>
          <t>연령·성별 합계는 법인카드 제외</t>
        </is>
      </c>
    </row>
    <row r="10">
      <c r="A10" s="10" t="inlineStr">
        <is>
          <t>BM09</t>
        </is>
      </c>
      <c r="B10" s="3" t="inlineStr">
        <is>
          <t>대학로 한식 30대 매출 비중</t>
        </is>
      </c>
      <c r="C10" s="20" t="n"/>
      <c r="D10" s="20" t="n">
        <v>0.25</v>
      </c>
      <c r="E10" s="20" t="n"/>
      <c r="F10" s="10" t="inlineStr">
        <is>
          <t>비율</t>
        </is>
      </c>
      <c r="G10" s="3" t="inlineStr">
        <is>
          <t>2025</t>
        </is>
      </c>
      <c r="H10" s="10" t="inlineStr">
        <is>
          <t>S12</t>
        </is>
      </c>
      <c r="I10" s="3" t="inlineStr"/>
    </row>
    <row r="11">
      <c r="A11" s="10" t="inlineStr">
        <is>
          <t>BM10</t>
        </is>
      </c>
      <c r="B11" s="3" t="inlineStr">
        <is>
          <t>대학로 돼지고기 구이(I20107) 점포수</t>
        </is>
      </c>
      <c r="C11" s="18" t="n"/>
      <c r="D11" s="18" t="n">
        <v>27</v>
      </c>
      <c r="E11" s="18" t="n"/>
      <c r="F11" s="10" t="inlineStr">
        <is>
          <t>개</t>
        </is>
      </c>
      <c r="G11" s="3" t="inlineStr">
        <is>
          <t>상권 경계 내 점포 좌표</t>
        </is>
      </c>
      <c r="H11" s="10" t="inlineStr">
        <is>
          <t>S20;S18</t>
        </is>
      </c>
      <c r="I11" s="3" t="inlineStr">
        <is>
          <t>지점명 있는 6개</t>
        </is>
      </c>
    </row>
    <row r="12">
      <c r="A12" s="10" t="inlineStr">
        <is>
          <t>BM11</t>
        </is>
      </c>
      <c r="B12" s="3" t="inlineStr">
        <is>
          <t>KREI 육류구이 영업이익률</t>
        </is>
      </c>
      <c r="C12" s="20" t="n"/>
      <c r="D12" s="20" t="n">
        <v>0.094</v>
      </c>
      <c r="E12" s="20" t="n"/>
      <c r="F12" s="10" t="inlineStr">
        <is>
          <t>매출 대비</t>
        </is>
      </c>
      <c r="G12" s="3" t="inlineStr">
        <is>
          <t>2018, 전국</t>
        </is>
      </c>
      <c r="H12" s="10" t="inlineStr">
        <is>
          <t>S31</t>
        </is>
      </c>
      <c r="I12" s="3" t="inlineStr">
        <is>
          <t>대표자 귀속 인건비 차감 후</t>
        </is>
      </c>
    </row>
    <row r="13">
      <c r="A13" s="10" t="inlineStr">
        <is>
          <t>BM12</t>
        </is>
      </c>
      <c r="B13" s="3" t="inlineStr">
        <is>
          <t>KREI 식재료비 (영업비용 대비)</t>
        </is>
      </c>
      <c r="C13" s="20" t="n"/>
      <c r="D13" s="20" t="n">
        <v>0.41</v>
      </c>
      <c r="E13" s="20" t="n"/>
      <c r="F13" s="10" t="inlineStr">
        <is>
          <t>비용 대비</t>
        </is>
      </c>
      <c r="G13" s="3" t="inlineStr">
        <is>
          <t>2018, 전국</t>
        </is>
      </c>
      <c r="H13" s="10" t="inlineStr">
        <is>
          <t>S31</t>
        </is>
      </c>
      <c r="I13" s="3" t="inlineStr"/>
    </row>
    <row r="14">
      <c r="A14" s="10" t="inlineStr">
        <is>
          <t>BM13</t>
        </is>
      </c>
      <c r="B14" s="3" t="inlineStr">
        <is>
          <t>KREI 식재료비 (매출 대비)</t>
        </is>
      </c>
      <c r="C14" s="20" t="n"/>
      <c r="D14" s="21">
        <f>$D$13*(1-$D$12)</f>
        <v/>
      </c>
      <c r="E14" s="20" t="n"/>
      <c r="F14" s="10" t="inlineStr">
        <is>
          <t>매출 대비</t>
        </is>
      </c>
      <c r="G14" s="3" t="inlineStr">
        <is>
          <t>비용 비중 × (1 − 영업이익률)</t>
        </is>
      </c>
      <c r="H14" s="10" t="inlineStr">
        <is>
          <t>S31</t>
        </is>
      </c>
      <c r="I14" s="3" t="inlineStr">
        <is>
          <t>≈37%</t>
        </is>
      </c>
    </row>
    <row r="15">
      <c r="A15" s="10" t="inlineStr">
        <is>
          <t>BM14</t>
        </is>
      </c>
      <c r="B15" s="3" t="inlineStr">
        <is>
          <t>KREI 인건비 (영업비용 대비)</t>
        </is>
      </c>
      <c r="C15" s="20" t="n"/>
      <c r="D15" s="20" t="n">
        <v>0.342</v>
      </c>
      <c r="E15" s="20" t="n"/>
      <c r="F15" s="10" t="inlineStr">
        <is>
          <t>비용 대비</t>
        </is>
      </c>
      <c r="G15" s="3" t="inlineStr">
        <is>
          <t>2018, 전국</t>
        </is>
      </c>
      <c r="H15" s="10" t="inlineStr">
        <is>
          <t>S31</t>
        </is>
      </c>
      <c r="I15" s="3" t="inlineStr"/>
    </row>
    <row r="16">
      <c r="A16" s="10" t="inlineStr">
        <is>
          <t>BM15</t>
        </is>
      </c>
      <c r="B16" s="3" t="inlineStr">
        <is>
          <t>KREI 인건비 (매출 대비)</t>
        </is>
      </c>
      <c r="C16" s="20" t="n"/>
      <c r="D16" s="21">
        <f>$D$15*(1-$D$12)</f>
        <v/>
      </c>
      <c r="E16" s="20" t="n"/>
      <c r="F16" s="10" t="inlineStr">
        <is>
          <t>매출 대비</t>
        </is>
      </c>
      <c r="G16" s="3" t="inlineStr">
        <is>
          <t>비용 비중 × (1 − 영업이익률)</t>
        </is>
      </c>
      <c r="H16" s="10" t="inlineStr">
        <is>
          <t>S31</t>
        </is>
      </c>
      <c r="I16" s="3" t="inlineStr">
        <is>
          <t>≈31%</t>
        </is>
      </c>
    </row>
    <row r="17">
      <c r="A17" s="10" t="inlineStr">
        <is>
          <t>BM16</t>
        </is>
      </c>
      <c r="B17" s="3" t="inlineStr">
        <is>
          <t>KREI 임차료 (영업비용 대비)</t>
        </is>
      </c>
      <c r="C17" s="20" t="n"/>
      <c r="D17" s="20" t="n">
        <v>0.093</v>
      </c>
      <c r="E17" s="20" t="n"/>
      <c r="F17" s="10" t="inlineStr">
        <is>
          <t>비용 대비</t>
        </is>
      </c>
      <c r="G17" s="3" t="inlineStr">
        <is>
          <t>2018, 전국</t>
        </is>
      </c>
      <c r="H17" s="10" t="inlineStr">
        <is>
          <t>S31</t>
        </is>
      </c>
      <c r="I17" s="3" t="inlineStr"/>
    </row>
    <row r="18">
      <c r="A18" s="10" t="inlineStr">
        <is>
          <t>BM17</t>
        </is>
      </c>
      <c r="B18" s="3" t="inlineStr">
        <is>
          <t>KREI 임차료 (매출 대비)</t>
        </is>
      </c>
      <c r="C18" s="20" t="n"/>
      <c r="D18" s="21">
        <f>$D$17*(1-$D$12)</f>
        <v/>
      </c>
      <c r="E18" s="20" t="n"/>
      <c r="F18" s="10" t="inlineStr">
        <is>
          <t>매출 대비</t>
        </is>
      </c>
      <c r="G18" s="3" t="inlineStr">
        <is>
          <t>비용 비중 × (1 − 영업이익률)</t>
        </is>
      </c>
      <c r="H18" s="10" t="inlineStr">
        <is>
          <t>S31</t>
        </is>
      </c>
      <c r="I18" s="3" t="inlineStr">
        <is>
          <t>≈8.4%</t>
        </is>
      </c>
    </row>
    <row r="19">
      <c r="A19" s="10" t="inlineStr">
        <is>
          <t>BM18</t>
        </is>
      </c>
      <c r="B19" s="3" t="inlineStr">
        <is>
          <t>KREI 기타 비용 (영업비용 대비)</t>
        </is>
      </c>
      <c r="C19" s="20" t="n"/>
      <c r="D19" s="21">
        <f>1-$D$13-$D$15-$D$17</f>
        <v/>
      </c>
      <c r="E19" s="20" t="n"/>
      <c r="F19" s="10" t="inlineStr">
        <is>
          <t>비용 대비</t>
        </is>
      </c>
      <c r="G19" s="3" t="inlineStr">
        <is>
          <t>잔여 = 관리비·수수료·기타</t>
        </is>
      </c>
      <c r="H19" s="10" t="inlineStr">
        <is>
          <t>S31</t>
        </is>
      </c>
      <c r="I19" s="3" t="inlineStr">
        <is>
          <t>파생값</t>
        </is>
      </c>
    </row>
    <row r="20">
      <c r="A20" s="10" t="inlineStr">
        <is>
          <t>BM19</t>
        </is>
      </c>
      <c r="B20" s="3" t="inlineStr">
        <is>
          <t>KREI 기타 비용 (매출 대비)</t>
        </is>
      </c>
      <c r="C20" s="20" t="n"/>
      <c r="D20" s="21">
        <f>$D$19*(1-$D$12)</f>
        <v/>
      </c>
      <c r="E20" s="20" t="n"/>
      <c r="F20" s="10" t="inlineStr">
        <is>
          <t>매출 대비</t>
        </is>
      </c>
      <c r="G20" s="3" t="inlineStr">
        <is>
          <t>비용 비중 × (1 − 영업이익률)</t>
        </is>
      </c>
      <c r="H20" s="10" t="inlineStr">
        <is>
          <t>S31</t>
        </is>
      </c>
      <c r="I20" s="3" t="inlineStr">
        <is>
          <t>≈14%</t>
        </is>
      </c>
    </row>
    <row r="21">
      <c r="A21" s="10" t="inlineStr">
        <is>
          <t>BM20</t>
        </is>
      </c>
      <c r="B21" s="3" t="inlineStr">
        <is>
          <t>외식업 대표자 인건비 (영업비용 대비, 2022)</t>
        </is>
      </c>
      <c r="C21" s="20" t="n"/>
      <c r="D21" s="20" t="n">
        <v>0.149</v>
      </c>
      <c r="E21" s="20" t="n"/>
      <c r="F21" s="10" t="inlineStr">
        <is>
          <t>비용 대비</t>
        </is>
      </c>
      <c r="G21" s="3" t="inlineStr">
        <is>
          <t>전체 외식</t>
        </is>
      </c>
      <c r="H21" s="10" t="inlineStr">
        <is>
          <t>S32</t>
        </is>
      </c>
      <c r="I21" s="3" t="inlineStr">
        <is>
          <t>고용인 14.8%, 가족 3.5%</t>
        </is>
      </c>
    </row>
    <row r="22">
      <c r="A22" s="10" t="inlineStr">
        <is>
          <t>BM21</t>
        </is>
      </c>
      <c r="B22" s="3" t="inlineStr">
        <is>
          <t>참가격 삼겹살 200g 서울 (2026-06)</t>
        </is>
      </c>
      <c r="C22" s="17" t="n"/>
      <c r="D22" s="17" t="n">
        <v>21321</v>
      </c>
      <c r="E22" s="17" t="n"/>
      <c r="F22" s="10" t="inlineStr">
        <is>
          <t>₩/200g</t>
        </is>
      </c>
      <c r="G22" s="3" t="inlineStr">
        <is>
          <t>외식비 공시</t>
        </is>
      </c>
      <c r="H22" s="10" t="inlineStr">
        <is>
          <t>S23</t>
        </is>
      </c>
      <c r="I22" s="3" t="inlineStr">
        <is>
          <t>전년 대비 +4.3%</t>
        </is>
      </c>
    </row>
    <row r="23">
      <c r="A23" s="10" t="inlineStr">
        <is>
          <t>BM22</t>
        </is>
      </c>
      <c r="B23" s="3" t="inlineStr">
        <is>
          <t>참가격 삼겹살 200g 서울 (2026-01)</t>
        </is>
      </c>
      <c r="C23" s="17" t="n"/>
      <c r="D23" s="17" t="n">
        <v>21056</v>
      </c>
      <c r="E23" s="17" t="n"/>
      <c r="F23" s="10" t="inlineStr">
        <is>
          <t>₩/200g</t>
        </is>
      </c>
      <c r="G23" s="3" t="inlineStr">
        <is>
          <t>외식비 공시</t>
        </is>
      </c>
      <c r="H23" s="10" t="inlineStr">
        <is>
          <t>S24</t>
        </is>
      </c>
      <c r="I23" s="3" t="inlineStr"/>
    </row>
    <row r="24">
      <c r="A24" s="10" t="inlineStr">
        <is>
          <t>BM23</t>
        </is>
      </c>
      <c r="B24" s="3" t="inlineStr">
        <is>
          <t>골목 삼겹살집 가격 (마포 2026-03)</t>
        </is>
      </c>
      <c r="C24" s="17" t="n"/>
      <c r="D24" s="17" t="n">
        <v>17000</v>
      </c>
      <c r="E24" s="17" t="n"/>
      <c r="F24" s="10" t="inlineStr">
        <is>
          <t>₩/인분</t>
        </is>
      </c>
      <c r="G24" s="3" t="inlineStr">
        <is>
          <t>기사 사례</t>
        </is>
      </c>
      <c r="H24" s="10" t="inlineStr">
        <is>
          <t>S25</t>
        </is>
      </c>
      <c r="I24" s="3" t="inlineStr">
        <is>
          <t>중량 미기재</t>
        </is>
      </c>
    </row>
    <row r="25">
      <c r="A25" s="10" t="inlineStr">
        <is>
          <t>BM24</t>
        </is>
      </c>
      <c r="B25" s="3" t="inlineStr">
        <is>
          <t>소주 판매가 (마포 2026)</t>
        </is>
      </c>
      <c r="C25" s="17" t="n">
        <v>4000</v>
      </c>
      <c r="D25" s="17" t="n"/>
      <c r="E25" s="17" t="n">
        <v>6000</v>
      </c>
      <c r="F25" s="10" t="inlineStr">
        <is>
          <t>₩/병</t>
        </is>
      </c>
      <c r="G25" s="3" t="inlineStr">
        <is>
          <t>기사 사례</t>
        </is>
      </c>
      <c r="H25" s="10" t="inlineStr">
        <is>
          <t>S25</t>
        </is>
      </c>
      <c r="I25" s="3" t="inlineStr"/>
    </row>
    <row r="26">
      <c r="A26" s="10" t="inlineStr">
        <is>
          <t>BM25</t>
        </is>
      </c>
      <c r="B26" s="3" t="inlineStr">
        <is>
          <t>소주 판매가 (강남 2023)</t>
        </is>
      </c>
      <c r="C26" s="17" t="n">
        <v>7000</v>
      </c>
      <c r="D26" s="17" t="n"/>
      <c r="E26" s="17" t="n">
        <v>8000</v>
      </c>
      <c r="F26" s="10" t="inlineStr">
        <is>
          <t>₩/병</t>
        </is>
      </c>
      <c r="G26" s="3" t="inlineStr">
        <is>
          <t>기사 사례</t>
        </is>
      </c>
      <c r="H26" s="10" t="inlineStr">
        <is>
          <t>S26</t>
        </is>
      </c>
      <c r="I26" s="3" t="inlineStr"/>
    </row>
    <row r="27">
      <c r="A27" s="10" t="inlineStr">
        <is>
          <t>BM26</t>
        </is>
      </c>
      <c r="B27" s="3" t="inlineStr">
        <is>
          <t>소주 식당 마진 (₩6,000 판매 시)</t>
        </is>
      </c>
      <c r="C27" s="17" t="n"/>
      <c r="D27" s="17" t="n">
        <v>4400</v>
      </c>
      <c r="E27" s="17" t="n"/>
      <c r="F27" s="10" t="inlineStr">
        <is>
          <t>₩/병</t>
        </is>
      </c>
      <c r="G27" s="3" t="inlineStr">
        <is>
          <t>마진율 73.4%</t>
        </is>
      </c>
      <c r="H27" s="10" t="inlineStr">
        <is>
          <t>S27</t>
        </is>
      </c>
      <c r="I27" s="3" t="inlineStr">
        <is>
          <t>원가 ≈₩1,600</t>
        </is>
      </c>
    </row>
    <row r="28">
      <c r="A28" s="10" t="inlineStr">
        <is>
          <t>BM27</t>
        </is>
      </c>
      <c r="B28" s="3" t="inlineStr">
        <is>
          <t>객단가 (주류 포함)</t>
        </is>
      </c>
      <c r="C28" s="17" t="n">
        <v>28000</v>
      </c>
      <c r="D28" s="17" t="n"/>
      <c r="E28" s="17" t="n">
        <v>40000</v>
      </c>
      <c r="F28" s="10" t="inlineStr">
        <is>
          <t>₩/인</t>
        </is>
      </c>
      <c r="G28" s="3" t="inlineStr">
        <is>
          <t>연구 파일 파생값</t>
        </is>
      </c>
      <c r="H28" s="10" t="inlineStr">
        <is>
          <t>S25;S28</t>
        </is>
      </c>
      <c r="I28" s="3" t="inlineStr">
        <is>
          <t>2인 2인분 + 소주 = ₩5만+</t>
        </is>
      </c>
    </row>
    <row r="29">
      <c r="A29" s="10" t="inlineStr">
        <is>
          <t>BM28</t>
        </is>
      </c>
      <c r="B29" s="3" t="inlineStr">
        <is>
          <t>주류 매출 비중</t>
        </is>
      </c>
      <c r="C29" s="20" t="n">
        <v>0.17</v>
      </c>
      <c r="D29" s="20" t="n">
        <v>0.2</v>
      </c>
      <c r="E29" s="20" t="n">
        <v>0.25</v>
      </c>
      <c r="F29" s="10" t="inlineStr">
        <is>
          <t>비율</t>
        </is>
      </c>
      <c r="G29" s="3" t="inlineStr">
        <is>
          <t>블로그 65/20/15 + 파생</t>
        </is>
      </c>
      <c r="H29" s="10" t="inlineStr">
        <is>
          <t>S30</t>
        </is>
      </c>
      <c r="I29" s="3" t="inlineStr">
        <is>
          <t>UNVERIFIED</t>
        </is>
      </c>
    </row>
    <row r="30">
      <c r="A30" s="10" t="inlineStr">
        <is>
          <t>BM29</t>
        </is>
      </c>
      <c r="B30" s="3" t="inlineStr">
        <is>
          <t>2026 최저임금</t>
        </is>
      </c>
      <c r="C30" s="17" t="n"/>
      <c r="D30" s="17" t="n">
        <v>10320</v>
      </c>
      <c r="E30" s="17" t="n"/>
      <c r="F30" s="10" t="inlineStr">
        <is>
          <t>₩/시간</t>
        </is>
      </c>
      <c r="G30" s="3" t="inlineStr">
        <is>
          <t>법정</t>
        </is>
      </c>
      <c r="H30" s="10" t="inlineStr">
        <is>
          <t>S36</t>
        </is>
      </c>
      <c r="I30" s="3" t="inlineStr">
        <is>
          <t>+2.9%</t>
        </is>
      </c>
    </row>
    <row r="31">
      <c r="A31" s="10" t="inlineStr">
        <is>
          <t>BM30</t>
        </is>
      </c>
      <c r="B31" s="3" t="inlineStr">
        <is>
          <t>2026 최저임금 월 환산 (209h)</t>
        </is>
      </c>
      <c r="C31" s="17" t="n"/>
      <c r="D31" s="19">
        <f>$D$30*209</f>
        <v/>
      </c>
      <c r="E31" s="17" t="n"/>
      <c r="F31" s="10" t="inlineStr">
        <is>
          <t>₩/월</t>
        </is>
      </c>
      <c r="G31" s="3" t="inlineStr">
        <is>
          <t>BM29 × 209h</t>
        </is>
      </c>
      <c r="H31" s="10" t="inlineStr">
        <is>
          <t>S36</t>
        </is>
      </c>
      <c r="I31" s="3" t="inlineStr">
        <is>
          <t>₩2,156,880</t>
        </is>
      </c>
    </row>
    <row r="32">
      <c r="A32" s="10" t="inlineStr">
        <is>
          <t>BM31</t>
        </is>
      </c>
      <c r="B32" s="3" t="inlineStr">
        <is>
          <t>KREI 육류구이 종사자 수</t>
        </is>
      </c>
      <c r="C32" s="18" t="n"/>
      <c r="D32" s="18" t="n">
        <v>3.2</v>
      </c>
      <c r="E32" s="18" t="n"/>
      <c r="F32" s="10" t="inlineStr">
        <is>
          <t>명</t>
        </is>
      </c>
      <c r="G32" s="3" t="inlineStr">
        <is>
          <t>2018, 무급가족 18.3% 포함</t>
        </is>
      </c>
      <c r="H32" s="10" t="inlineStr">
        <is>
          <t>S31</t>
        </is>
      </c>
      <c r="I32" s="3" t="inlineStr"/>
    </row>
    <row r="33">
      <c r="A33" s="10" t="inlineStr">
        <is>
          <t>BM32</t>
        </is>
      </c>
      <c r="B33" s="3" t="inlineStr">
        <is>
          <t>KREI 육류구이 종사자 1인당 매출</t>
        </is>
      </c>
      <c r="C33" s="17" t="n"/>
      <c r="D33" s="17" t="n">
        <v>70990000</v>
      </c>
      <c r="E33" s="17" t="n"/>
      <c r="F33" s="10" t="inlineStr">
        <is>
          <t>₩/년</t>
        </is>
      </c>
      <c r="G33" s="3" t="inlineStr">
        <is>
          <t>2018</t>
        </is>
      </c>
      <c r="H33" s="10" t="inlineStr">
        <is>
          <t>S31</t>
        </is>
      </c>
      <c r="I33" s="3" t="inlineStr"/>
    </row>
    <row r="34">
      <c r="A34" s="10" t="inlineStr">
        <is>
          <t>BM33</t>
        </is>
      </c>
      <c r="B34" s="3" t="inlineStr">
        <is>
          <t>30평 삼겹살 사례 좌석수</t>
        </is>
      </c>
      <c r="C34" s="18" t="n"/>
      <c r="D34" s="18" t="n">
        <v>60</v>
      </c>
      <c r="E34" s="18" t="n"/>
      <c r="F34" s="10" t="inlineStr">
        <is>
          <t>석</t>
        </is>
      </c>
      <c r="G34" s="3" t="inlineStr">
        <is>
          <t>15테이블, 월 ~₩3,000만</t>
        </is>
      </c>
      <c r="H34" s="10" t="inlineStr">
        <is>
          <t>S34</t>
        </is>
      </c>
      <c r="I34" s="3" t="inlineStr">
        <is>
          <t>미금(성남) 프랜차이즈</t>
        </is>
      </c>
    </row>
    <row r="35">
      <c r="A35" s="10" t="inlineStr">
        <is>
          <t>BM34</t>
        </is>
      </c>
      <c r="B35" s="3" t="inlineStr">
        <is>
          <t>외식업 평균 연매출 (2024)</t>
        </is>
      </c>
      <c r="C35" s="17" t="n"/>
      <c r="D35" s="17" t="n">
        <v>255300000</v>
      </c>
      <c r="E35" s="17" t="n"/>
      <c r="F35" s="10" t="inlineStr">
        <is>
          <t>₩/년</t>
        </is>
      </c>
      <c r="G35" s="3" t="inlineStr">
        <is>
          <t>전체 외식</t>
        </is>
      </c>
      <c r="H35" s="10" t="inlineStr">
        <is>
          <t>S33;S29</t>
        </is>
      </c>
      <c r="I35" s="3" t="inlineStr"/>
    </row>
    <row r="36">
      <c r="A36" s="10" t="inlineStr">
        <is>
          <t>BM35</t>
        </is>
      </c>
      <c r="B36" s="3" t="inlineStr">
        <is>
          <t>한식 평균 연매출 (2024)</t>
        </is>
      </c>
      <c r="C36" s="17" t="n"/>
      <c r="D36" s="17" t="n">
        <v>291100000</v>
      </c>
      <c r="E36" s="17" t="n"/>
      <c r="F36" s="10" t="inlineStr">
        <is>
          <t>₩/년</t>
        </is>
      </c>
      <c r="G36" s="3" t="inlineStr">
        <is>
          <t>한식</t>
        </is>
      </c>
      <c r="H36" s="10" t="inlineStr">
        <is>
          <t>S33</t>
        </is>
      </c>
      <c r="I36" s="3" t="inlineStr"/>
    </row>
    <row r="37">
      <c r="A37" s="10" t="inlineStr">
        <is>
          <t>BM36</t>
        </is>
      </c>
      <c r="B37" s="3" t="inlineStr">
        <is>
          <t>비프랜차이즈 평균 연매출 (2024)</t>
        </is>
      </c>
      <c r="C37" s="17" t="n"/>
      <c r="D37" s="17" t="n">
        <v>230000000</v>
      </c>
      <c r="E37" s="17" t="n"/>
      <c r="F37" s="10" t="inlineStr">
        <is>
          <t>₩/년</t>
        </is>
      </c>
      <c r="G37" s="3" t="inlineStr">
        <is>
          <t>개인 외식업</t>
        </is>
      </c>
      <c r="H37" s="10" t="inlineStr">
        <is>
          <t>S33</t>
        </is>
      </c>
      <c r="I37" s="3" t="inlineStr"/>
    </row>
    <row r="38">
      <c r="A38" s="10" t="inlineStr">
        <is>
          <t>BM37</t>
        </is>
      </c>
      <c r="B38" s="3" t="inlineStr">
        <is>
          <t>한식음식점 5년 생존율 (국세청)</t>
        </is>
      </c>
      <c r="C38" s="20" t="n"/>
      <c r="D38" s="20" t="n">
        <v>0.34</v>
      </c>
      <c r="E38" s="20" t="n"/>
      <c r="F38" s="10" t="inlineStr">
        <is>
          <t>비율</t>
        </is>
      </c>
      <c r="G38" s="3" t="inlineStr">
        <is>
          <t>2023, 사업자 폐업 기준</t>
        </is>
      </c>
      <c r="H38" s="10" t="inlineStr">
        <is>
          <t>S38</t>
        </is>
      </c>
      <c r="I38" s="3" t="inlineStr">
        <is>
          <t>인허가 기준과 정의 다름</t>
        </is>
      </c>
    </row>
    <row r="39">
      <c r="A39" s="10" t="inlineStr">
        <is>
          <t>BM38</t>
        </is>
      </c>
      <c r="B39" s="3" t="inlineStr">
        <is>
          <t>서울 한식 3년 생존율 (인허가)</t>
        </is>
      </c>
      <c r="C39" s="20" t="n"/>
      <c r="D39" s="20" t="n">
        <v>0.7</v>
      </c>
      <c r="E39" s="20" t="n"/>
      <c r="F39" s="10" t="inlineStr">
        <is>
          <t>비율</t>
        </is>
      </c>
      <c r="G39" s="3" t="inlineStr">
        <is>
          <t>LOCALDATA 기준</t>
        </is>
      </c>
      <c r="H39" s="10" t="inlineStr">
        <is>
          <t>S09</t>
        </is>
      </c>
      <c r="I39" s="3" t="inlineStr"/>
    </row>
    <row r="40">
      <c r="A40" s="10" t="inlineStr">
        <is>
          <t>BM39</t>
        </is>
      </c>
      <c r="B40" s="3" t="inlineStr">
        <is>
          <t>서울 외식업 폐업률 (2023)</t>
        </is>
      </c>
      <c r="C40" s="20" t="n"/>
      <c r="D40" s="20" t="n">
        <v>0.1899</v>
      </c>
      <c r="E40" s="20" t="n"/>
      <c r="F40" s="10" t="inlineStr">
        <is>
          <t>비율</t>
        </is>
      </c>
      <c r="G40" s="3" t="inlineStr">
        <is>
          <t>핀다 오픈업</t>
        </is>
      </c>
      <c r="H40" s="10" t="inlineStr">
        <is>
          <t>S40</t>
        </is>
      </c>
      <c r="I40" s="3" t="inlineStr">
        <is>
          <t>민간 추정</t>
        </is>
      </c>
    </row>
    <row r="41">
      <c r="A41" s="10" t="inlineStr">
        <is>
          <t>BM40</t>
        </is>
      </c>
      <c r="B41" s="3" t="inlineStr">
        <is>
          <t>대학로 한식 폐업 점포수 (2025)</t>
        </is>
      </c>
      <c r="C41" s="18" t="n"/>
      <c r="D41" s="18" t="n">
        <v>11</v>
      </c>
      <c r="E41" s="18" t="n"/>
      <c r="F41" s="10" t="inlineStr">
        <is>
          <t>개</t>
        </is>
      </c>
      <c r="G41" s="3" t="inlineStr">
        <is>
          <t>개업 25</t>
        </is>
      </c>
      <c r="H41" s="10" t="inlineStr">
        <is>
          <t>S13</t>
        </is>
      </c>
      <c r="I41" s="3" t="inlineStr">
        <is>
          <t>폐업 적음 → 인허가 이력 필요</t>
        </is>
      </c>
    </row>
    <row r="42">
      <c r="A42" s="10" t="inlineStr">
        <is>
          <t>BM41</t>
        </is>
      </c>
      <c r="B42" s="3" t="inlineStr">
        <is>
          <t>외식업 평균 임차 보증금 (2022)</t>
        </is>
      </c>
      <c r="C42" s="17" t="n"/>
      <c r="D42" s="17" t="n">
        <v>33010000</v>
      </c>
      <c r="E42" s="17" t="n"/>
      <c r="F42" s="10" t="inlineStr">
        <is>
          <t>₩</t>
        </is>
      </c>
      <c r="G42" s="3" t="inlineStr">
        <is>
          <t>88.3%가 임차</t>
        </is>
      </c>
      <c r="H42" s="10" t="inlineStr">
        <is>
          <t>S32</t>
        </is>
      </c>
      <c r="I42" s="3" t="inlineStr"/>
    </row>
    <row r="43">
      <c r="A43" s="10" t="inlineStr">
        <is>
          <t>BM42</t>
        </is>
      </c>
      <c r="B43" s="3" t="inlineStr">
        <is>
          <t>혜화동 소규모 상가 1층 임대료 (2026Q2)</t>
        </is>
      </c>
      <c r="C43" s="17" t="n"/>
      <c r="D43" s="17" t="n">
        <v>60033</v>
      </c>
      <c r="E43" s="17" t="n"/>
      <c r="F43" s="10" t="inlineStr">
        <is>
          <t>₩/㎡/월</t>
        </is>
      </c>
      <c r="G43" s="3" t="inlineStr">
        <is>
          <t>보증금 환산 포함</t>
        </is>
      </c>
      <c r="H43" s="10" t="inlineStr">
        <is>
          <t>S52</t>
        </is>
      </c>
      <c r="I43" s="3" t="inlineStr">
        <is>
          <t>R-ONE 상권 혜화동</t>
        </is>
      </c>
    </row>
    <row r="44">
      <c r="A44" s="10" t="inlineStr">
        <is>
          <t>BM43</t>
        </is>
      </c>
      <c r="B44" s="3" t="inlineStr">
        <is>
          <t>서울 소규모 상가 임대료 (2026Q2)</t>
        </is>
      </c>
      <c r="C44" s="17" t="n"/>
      <c r="D44" s="17" t="n">
        <v>52778</v>
      </c>
      <c r="E44" s="17" t="n"/>
      <c r="F44" s="10" t="inlineStr">
        <is>
          <t>₩/㎡/월</t>
        </is>
      </c>
      <c r="G44" s="3" t="inlineStr">
        <is>
          <t>1층 기준</t>
        </is>
      </c>
      <c r="H44" s="10" t="inlineStr">
        <is>
          <t>S52</t>
        </is>
      </c>
      <c r="I44" s="3" t="inlineStr"/>
    </row>
    <row r="45">
      <c r="A45" s="10" t="inlineStr">
        <is>
          <t>BM44</t>
        </is>
      </c>
      <c r="B45" s="3" t="inlineStr">
        <is>
          <t>전국 소규모 상가 임대료 (2026Q2)</t>
        </is>
      </c>
      <c r="C45" s="17" t="n"/>
      <c r="D45" s="17" t="n">
        <v>20646</v>
      </c>
      <c r="E45" s="17" t="n"/>
      <c r="F45" s="10" t="inlineStr">
        <is>
          <t>₩/㎡/월</t>
        </is>
      </c>
      <c r="G45" s="3" t="inlineStr">
        <is>
          <t>1층 기준</t>
        </is>
      </c>
      <c r="H45" s="10" t="inlineStr">
        <is>
          <t>S52;S54</t>
        </is>
      </c>
      <c r="I45" s="3" t="inlineStr"/>
    </row>
    <row r="46">
      <c r="A46" s="10" t="inlineStr">
        <is>
          <t>BM45</t>
        </is>
      </c>
      <c r="B46" s="3" t="inlineStr">
        <is>
          <t>혜화동 임대료 ÷ 전국 임대료</t>
        </is>
      </c>
      <c r="C46" s="18" t="n"/>
      <c r="D46" s="22">
        <f>$D$43/$D$45</f>
        <v/>
      </c>
      <c r="E46" s="18" t="n"/>
      <c r="F46" s="10" t="inlineStr">
        <is>
          <t>배</t>
        </is>
      </c>
      <c r="G46" s="3" t="inlineStr">
        <is>
          <t>BM42 ÷ BM44</t>
        </is>
      </c>
      <c r="H46" s="10" t="inlineStr">
        <is>
          <t>S52</t>
        </is>
      </c>
      <c r="I46" s="3" t="inlineStr">
        <is>
          <t>≈2.9배: 전국 비용 비중이 이 상권에 맞지 않는 이유</t>
        </is>
      </c>
    </row>
    <row r="47">
      <c r="A47" s="10" t="inlineStr">
        <is>
          <t>BM46</t>
        </is>
      </c>
      <c r="B47" s="3" t="inlineStr">
        <is>
          <t>KMTA 냉장 삼겹 공장출고가 (2026년 1~9월 평균)</t>
        </is>
      </c>
      <c r="C47" s="17" t="n"/>
      <c r="D47" s="17" t="n">
        <v>18647</v>
      </c>
      <c r="E47" s="17" t="n"/>
      <c r="F47" s="10" t="inlineStr">
        <is>
          <t>₩/kg</t>
        </is>
      </c>
      <c r="G47" s="3" t="inlineStr">
        <is>
          <t>주간 시세 2주차</t>
        </is>
      </c>
      <c r="H47" s="10" t="inlineStr">
        <is>
          <t>S68</t>
        </is>
      </c>
      <c r="I47" s="3" t="inlineStr"/>
    </row>
    <row r="48">
      <c r="A48" s="10" t="inlineStr">
        <is>
          <t>BM47</t>
        </is>
      </c>
      <c r="B48" s="3" t="inlineStr">
        <is>
          <t>소매 삼겹살 가격 (2026-04)</t>
        </is>
      </c>
      <c r="C48" s="17" t="n"/>
      <c r="D48" s="17" t="n">
        <v>2559</v>
      </c>
      <c r="E48" s="17" t="n"/>
      <c r="F48" s="10" t="inlineStr">
        <is>
          <t>₩/100g</t>
        </is>
      </c>
      <c r="G48" s="3" t="inlineStr">
        <is>
          <t>소매</t>
        </is>
      </c>
      <c r="H48" s="10" t="inlineStr">
        <is>
          <t>S69</t>
        </is>
      </c>
      <c r="I48" s="3" t="inlineStr">
        <is>
          <t>식당 원가 상한</t>
        </is>
      </c>
    </row>
    <row r="49">
      <c r="A49" s="10" t="inlineStr">
        <is>
          <t>BM48</t>
        </is>
      </c>
      <c r="B49" s="3" t="inlineStr">
        <is>
          <t>KAMIS 삼겹살 1인분 상차림 재료비 (2026 상반기)</t>
        </is>
      </c>
      <c r="C49" s="17" t="n"/>
      <c r="D49" s="17" t="n">
        <v>7082</v>
      </c>
      <c r="E49" s="17" t="n"/>
      <c r="F49" s="10" t="inlineStr">
        <is>
          <t>₩/인분</t>
        </is>
      </c>
      <c r="G49" s="3" t="inlineStr">
        <is>
          <t>소매 기준 고기+쌈채소</t>
        </is>
      </c>
      <c r="H49" s="10" t="inlineStr">
        <is>
          <t>S51</t>
        </is>
      </c>
      <c r="I49" s="3" t="inlineStr">
        <is>
          <t>중량 미기재</t>
        </is>
      </c>
    </row>
    <row r="50">
      <c r="A50" s="10" t="inlineStr">
        <is>
          <t>BM49</t>
        </is>
      </c>
      <c r="B50" s="3" t="inlineStr">
        <is>
          <t>외식 가격탄력성 (메타분석 평균)</t>
        </is>
      </c>
      <c r="C50" s="18" t="n">
        <v>-1.07</v>
      </c>
      <c r="D50" s="18" t="n">
        <v>-0.8100000000000001</v>
      </c>
      <c r="E50" s="18" t="n">
        <v>-0.5600000000000001</v>
      </c>
      <c r="F50" s="10" t="inlineStr">
        <is>
          <t>탄력성</t>
        </is>
      </c>
      <c r="G50" s="3" t="inlineStr">
        <is>
          <t>미국, 범주 수준</t>
        </is>
      </c>
      <c r="H50" s="10" t="inlineStr">
        <is>
          <t>S58</t>
        </is>
      </c>
      <c r="I50" s="3" t="inlineStr">
        <is>
          <t>95% 신뢰구간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1" customWidth="1" min="3" max="3"/>
    <col width="11" customWidth="1" min="4" max="4"/>
    <col width="11" customWidth="1" min="5" max="5"/>
    <col width="10" customWidth="1" min="6" max="6"/>
    <col width="44" customWidth="1" min="7" max="7"/>
  </cols>
  <sheetData>
    <row r="1">
      <c r="A1" s="23" t="inlineStr">
        <is>
          <t>Hero 매장 월 손익 (base case)</t>
        </is>
      </c>
    </row>
    <row r="2">
      <c r="A2" s="24" t="inlineStr">
        <is>
          <t>ILLUSTRATIVE: 모든 값은 HeroStore base 입력에서 계산된 예시다. 이 시트에 숫자를 직접 입력하지 말 것. KREI 기준 = 2018 전국 육류구이 (매출 대비).</t>
        </is>
      </c>
    </row>
    <row r="4">
      <c r="A4" s="8" t="inlineStr">
        <is>
          <t>항목</t>
        </is>
      </c>
      <c r="B4" s="25" t="inlineStr">
        <is>
          <t>값</t>
        </is>
      </c>
      <c r="C4" s="8" t="inlineStr">
        <is>
          <t>단위</t>
        </is>
      </c>
      <c r="D4" s="25" t="inlineStr">
        <is>
          <t>매출 대비</t>
        </is>
      </c>
      <c r="E4" s="25" t="inlineStr">
        <is>
          <t>KREI 기준</t>
        </is>
      </c>
      <c r="F4" s="25" t="inlineStr">
        <is>
          <t>차이</t>
        </is>
      </c>
      <c r="G4" s="8" t="inlineStr">
        <is>
          <t>산식·메모</t>
        </is>
      </c>
    </row>
    <row r="5">
      <c r="A5" s="26" t="inlineStr">
        <is>
          <t>용량·수요</t>
        </is>
      </c>
      <c r="B5" s="27" t="n"/>
      <c r="C5" s="27" t="n"/>
      <c r="D5" s="27" t="n"/>
      <c r="E5" s="27" t="n"/>
      <c r="F5" s="27" t="n"/>
      <c r="G5" s="27" t="n"/>
    </row>
    <row r="6">
      <c r="A6" s="28" t="inlineStr">
        <is>
          <t>유효 좌석수</t>
        </is>
      </c>
      <c r="B6" s="29">
        <f>v_sto_tables*v_sto_seats_per_table+v_sto_terrace*v_sto_terrace_availability</f>
        <v/>
      </c>
      <c r="C6" s="30" t="inlineStr">
        <is>
          <t>석</t>
        </is>
      </c>
      <c r="D6" s="31" t="n"/>
      <c r="E6" s="31" t="n"/>
      <c r="F6" s="31" t="n"/>
      <c r="G6" s="32" t="inlineStr">
        <is>
          <t>테이블 × 의자 + 야장 × 가용률</t>
        </is>
      </c>
    </row>
    <row r="7">
      <c r="A7" s="28" t="inlineStr">
        <is>
          <t>좌석 점유율 (착석 시)</t>
        </is>
      </c>
      <c r="B7" s="33">
        <f>v_sto_occupancy</f>
        <v/>
      </c>
      <c r="C7" s="30" t="inlineStr">
        <is>
          <t>비율</t>
        </is>
      </c>
      <c r="D7" s="31" t="n"/>
      <c r="E7" s="31" t="n"/>
      <c r="F7" s="31" t="n"/>
      <c r="G7" s="32" t="inlineStr">
        <is>
          <t>HeroStore</t>
        </is>
      </c>
    </row>
    <row r="8">
      <c r="A8" s="28" t="inlineStr">
        <is>
          <t>테이블 회전율</t>
        </is>
      </c>
      <c r="B8" s="33">
        <f>v_sto_table_turns</f>
        <v/>
      </c>
      <c r="C8" s="30" t="inlineStr">
        <is>
          <t>회/일</t>
        </is>
      </c>
      <c r="D8" s="31" t="n"/>
      <c r="E8" s="31" t="n"/>
      <c r="F8" s="31" t="n"/>
      <c r="G8" s="32" t="inlineStr">
        <is>
          <t>HeroStore</t>
        </is>
      </c>
    </row>
    <row r="9">
      <c r="A9" s="28" t="inlineStr">
        <is>
          <t>일 착석고객수</t>
        </is>
      </c>
      <c r="B9" s="29">
        <f>$B$6*$B$7*$B$8</f>
        <v/>
      </c>
      <c r="C9" s="30" t="inlineStr">
        <is>
          <t>명/일</t>
        </is>
      </c>
      <c r="D9" s="31" t="n"/>
      <c r="E9" s="31" t="n"/>
      <c r="F9" s="31" t="n"/>
      <c r="G9" s="32" t="inlineStr">
        <is>
          <t>좌석 × 점유율 × 회전율</t>
        </is>
      </c>
    </row>
    <row r="10">
      <c r="A10" s="28" t="inlineStr">
        <is>
          <t>월 영업일수</t>
        </is>
      </c>
      <c r="B10" s="34">
        <f>v_sto_open_days</f>
        <v/>
      </c>
      <c r="C10" s="30" t="inlineStr">
        <is>
          <t>일</t>
        </is>
      </c>
      <c r="D10" s="31" t="n"/>
      <c r="E10" s="31" t="n"/>
      <c r="F10" s="31" t="n"/>
      <c r="G10" s="32" t="inlineStr">
        <is>
          <t>HeroStore</t>
        </is>
      </c>
    </row>
    <row r="11">
      <c r="A11" s="28" t="inlineStr">
        <is>
          <t>월 착석고객수</t>
        </is>
      </c>
      <c r="B11" s="35">
        <f>$B$9*$B$10</f>
        <v/>
      </c>
      <c r="C11" s="30" t="inlineStr">
        <is>
          <t>명/월</t>
        </is>
      </c>
      <c r="D11" s="31" t="n"/>
      <c r="E11" s="31" t="n"/>
      <c r="F11" s="31" t="n"/>
      <c r="G11" s="32" t="inlineStr"/>
    </row>
    <row r="12">
      <c r="A12" s="28" t="inlineStr">
        <is>
          <t>일 도착 팀수 (이탈 전)</t>
        </is>
      </c>
      <c r="B12" s="29">
        <f>$B$9/(1-v_drv_balk_rate)/v_mkt_party_size</f>
        <v/>
      </c>
      <c r="C12" s="30" t="inlineStr">
        <is>
          <t>팀/일</t>
        </is>
      </c>
      <c r="D12" s="31" t="n"/>
      <c r="E12" s="31" t="n"/>
      <c r="F12" s="31" t="n"/>
      <c r="G12" s="32" t="inlineStr">
        <is>
          <t>착석 ÷ (1 − 이탈률) ÷ 일행 수</t>
        </is>
      </c>
    </row>
    <row r="13">
      <c r="A13" s="26" t="inlineStr">
        <is>
          <t>객단가</t>
        </is>
      </c>
      <c r="B13" s="27" t="n"/>
      <c r="C13" s="27" t="n"/>
      <c r="D13" s="27" t="n"/>
      <c r="E13" s="27" t="n"/>
      <c r="F13" s="27" t="n"/>
      <c r="G13" s="27" t="n"/>
    </row>
    <row r="14">
      <c r="A14" s="28" t="inlineStr">
        <is>
          <t>고기 매출 / 인</t>
        </is>
      </c>
      <c r="B14" s="36">
        <f>v_prd_portions_per_cover*v_prd_meat_price</f>
        <v/>
      </c>
      <c r="C14" s="30" t="inlineStr">
        <is>
          <t>₩/인</t>
        </is>
      </c>
      <c r="D14" s="31" t="n"/>
      <c r="E14" s="31" t="n"/>
      <c r="F14" s="31" t="n"/>
      <c r="G14" s="32" t="inlineStr">
        <is>
          <t>인분/인 × 고기가</t>
        </is>
      </c>
    </row>
    <row r="15">
      <c r="A15" s="28" t="inlineStr">
        <is>
          <t>주류 매출 / 인</t>
        </is>
      </c>
      <c r="B15" s="36">
        <f>v_prd_alcohol_per_cover*v_prd_alcohol_price</f>
        <v/>
      </c>
      <c r="C15" s="30" t="inlineStr">
        <is>
          <t>₩/인</t>
        </is>
      </c>
      <c r="D15" s="31" t="n"/>
      <c r="E15" s="31" t="n"/>
      <c r="F15" s="31" t="n"/>
      <c r="G15" s="32" t="inlineStr">
        <is>
          <t>병/인 × 소주가</t>
        </is>
      </c>
    </row>
    <row r="16">
      <c r="A16" s="28" t="inlineStr">
        <is>
          <t>식사·사이드 매출 / 인</t>
        </is>
      </c>
      <c r="B16" s="36">
        <f>v_prd_side_spend_per_cover</f>
        <v/>
      </c>
      <c r="C16" s="30" t="inlineStr">
        <is>
          <t>₩/인</t>
        </is>
      </c>
      <c r="D16" s="31" t="n"/>
      <c r="E16" s="31" t="n"/>
      <c r="F16" s="31" t="n"/>
      <c r="G16" s="32" t="inlineStr">
        <is>
          <t>HeroStore</t>
        </is>
      </c>
    </row>
    <row r="17">
      <c r="A17" s="28" t="inlineStr">
        <is>
          <t>객단가</t>
        </is>
      </c>
      <c r="B17" s="36">
        <f>$B$14+$B$15+$B$16</f>
        <v/>
      </c>
      <c r="C17" s="30" t="inlineStr">
        <is>
          <t>₩/인</t>
        </is>
      </c>
      <c r="D17" s="31" t="n"/>
      <c r="E17" s="31" t="n"/>
      <c r="F17" s="31" t="n"/>
      <c r="G17" s="32" t="inlineStr">
        <is>
          <t>합계</t>
        </is>
      </c>
    </row>
    <row r="18">
      <c r="A18" s="26" t="inlineStr">
        <is>
          <t>매출</t>
        </is>
      </c>
      <c r="B18" s="27" t="n"/>
      <c r="C18" s="27" t="n"/>
      <c r="D18" s="27" t="n"/>
      <c r="E18" s="27" t="n"/>
      <c r="F18" s="27" t="n"/>
      <c r="G18" s="27" t="n"/>
    </row>
    <row r="19">
      <c r="A19" s="28" t="inlineStr">
        <is>
          <t>월 매출</t>
        </is>
      </c>
      <c r="B19" s="37">
        <f>$B$11*$B$17</f>
        <v/>
      </c>
      <c r="C19" s="30" t="inlineStr">
        <is>
          <t>₩/월</t>
        </is>
      </c>
      <c r="D19" s="38" t="n">
        <v>1</v>
      </c>
      <c r="E19" s="31" t="n"/>
      <c r="F19" s="31" t="n"/>
      <c r="G19" s="32" t="inlineStr">
        <is>
          <t>좌석 × 회전 × 점유율 × 객단가 × 영업일</t>
        </is>
      </c>
    </row>
    <row r="20">
      <c r="A20" s="39" t="inlineStr">
        <is>
          <t xml:space="preserve">  고기 매출</t>
        </is>
      </c>
      <c r="B20" s="36">
        <f>$B$11*$B$14</f>
        <v/>
      </c>
      <c r="C20" s="30" t="inlineStr">
        <is>
          <t>₩/월</t>
        </is>
      </c>
      <c r="D20" s="38">
        <f>$B$20/$B$19</f>
        <v/>
      </c>
      <c r="E20" s="31" t="n"/>
      <c r="F20" s="31" t="n"/>
      <c r="G20" s="32" t="inlineStr"/>
    </row>
    <row r="21">
      <c r="A21" s="39" t="inlineStr">
        <is>
          <t xml:space="preserve">  주류 매출</t>
        </is>
      </c>
      <c r="B21" s="36">
        <f>$B$11*$B$15</f>
        <v/>
      </c>
      <c r="C21" s="30" t="inlineStr">
        <is>
          <t>₩/월</t>
        </is>
      </c>
      <c r="D21" s="38">
        <f>$B$21/$B$19</f>
        <v/>
      </c>
      <c r="E21" s="38">
        <f>b_bm28</f>
        <v/>
      </c>
      <c r="F21" s="40">
        <f>(D21-E21)*100</f>
        <v/>
      </c>
      <c r="G21" s="32" t="inlineStr">
        <is>
          <t>주류 비중 기준: 블로그 20% (미검증)</t>
        </is>
      </c>
    </row>
    <row r="22">
      <c r="A22" s="39" t="inlineStr">
        <is>
          <t xml:space="preserve">  식사·사이드 매출</t>
        </is>
      </c>
      <c r="B22" s="36">
        <f>$B$11*$B$16</f>
        <v/>
      </c>
      <c r="C22" s="30" t="inlineStr">
        <is>
          <t>₩/월</t>
        </is>
      </c>
      <c r="D22" s="38">
        <f>$B$22/$B$19</f>
        <v/>
      </c>
      <c r="E22" s="31" t="n"/>
      <c r="F22" s="31" t="n"/>
      <c r="G22" s="32" t="inlineStr"/>
    </row>
    <row r="23">
      <c r="A23" s="28" t="inlineStr">
        <is>
          <t>주류/고기 판매 비율</t>
        </is>
      </c>
      <c r="B23" s="33">
        <f>$B$21/$B$20</f>
        <v/>
      </c>
      <c r="C23" s="30" t="inlineStr">
        <is>
          <t>비율</t>
        </is>
      </c>
      <c r="D23" s="31" t="n"/>
      <c r="E23" s="31" t="n"/>
      <c r="F23" s="31" t="n"/>
      <c r="G23" s="32" t="inlineStr">
        <is>
          <t>cst_alcohol_meat_ratio</t>
        </is>
      </c>
    </row>
    <row r="24">
      <c r="A24" s="26" t="inlineStr">
        <is>
          <t>비용</t>
        </is>
      </c>
      <c r="B24" s="27" t="n"/>
      <c r="C24" s="27" t="n"/>
      <c r="D24" s="27" t="n"/>
      <c r="E24" s="27" t="n"/>
      <c r="F24" s="27" t="n"/>
      <c r="G24" s="27" t="n"/>
    </row>
    <row r="25">
      <c r="A25" s="39" t="inlineStr">
        <is>
          <t xml:space="preserve">  고기 원가</t>
        </is>
      </c>
      <c r="B25" s="36">
        <f>$B$11*v_prd_portions_per_cover*v_cst_meat_cost_per_portion</f>
        <v/>
      </c>
      <c r="C25" s="30" t="inlineStr">
        <is>
          <t>₩/월</t>
        </is>
      </c>
      <c r="D25" s="38">
        <f>$B$25/$B$19</f>
        <v/>
      </c>
      <c r="E25" s="31" t="n"/>
      <c r="F25" s="31" t="n"/>
      <c r="G25" s="32" t="inlineStr">
        <is>
          <t>고객 × 인분 × 1인분 원가</t>
        </is>
      </c>
    </row>
    <row r="26">
      <c r="A26" s="39" t="inlineStr">
        <is>
          <t xml:space="preserve">  주류 원가</t>
        </is>
      </c>
      <c r="B26" s="36">
        <f>$B$11*v_prd_alcohol_per_cover*v_cst_alcohol_cost_per_bottle</f>
        <v/>
      </c>
      <c r="C26" s="30" t="inlineStr">
        <is>
          <t>₩/월</t>
        </is>
      </c>
      <c r="D26" s="38">
        <f>$B$26/$B$19</f>
        <v/>
      </c>
      <c r="E26" s="31" t="n"/>
      <c r="F26" s="31" t="n"/>
      <c r="G26" s="32" t="inlineStr">
        <is>
          <t>고객 × 병수 × 병당 원가</t>
        </is>
      </c>
    </row>
    <row r="27">
      <c r="A27" s="39" t="inlineStr">
        <is>
          <t xml:space="preserve">  식사·사이드 원가</t>
        </is>
      </c>
      <c r="B27" s="36">
        <f>$B$11*v_prd_side_spend_per_cover*v_cst_side_cost_ratio</f>
        <v/>
      </c>
      <c r="C27" s="30" t="inlineStr">
        <is>
          <t>₩/월</t>
        </is>
      </c>
      <c r="D27" s="38">
        <f>$B$27/$B$19</f>
        <v/>
      </c>
      <c r="E27" s="31" t="n"/>
      <c r="F27" s="31" t="n"/>
      <c r="G27" s="32" t="inlineStr">
        <is>
          <t>식사 매출 × 원가율</t>
        </is>
      </c>
    </row>
    <row r="28">
      <c r="A28" s="39" t="inlineStr">
        <is>
          <t xml:space="preserve">  반찬·쌈채소 원가</t>
        </is>
      </c>
      <c r="B28" s="36">
        <f>$B$11*v_cst_banchan_cost_per_cover</f>
        <v/>
      </c>
      <c r="C28" s="30" t="inlineStr">
        <is>
          <t>₩/월</t>
        </is>
      </c>
      <c r="D28" s="38">
        <f>$B$28/$B$19</f>
        <v/>
      </c>
      <c r="E28" s="31" t="n"/>
      <c r="F28" s="31" t="n"/>
      <c r="G28" s="32" t="inlineStr">
        <is>
          <t>고객 × 1인 반찬 원가</t>
        </is>
      </c>
    </row>
    <row r="29">
      <c r="A29" s="28" t="inlineStr">
        <is>
          <t>식재료비</t>
        </is>
      </c>
      <c r="B29" s="36">
        <f>$B$25+$B$26+$B$27+$B$28</f>
        <v/>
      </c>
      <c r="C29" s="30" t="inlineStr">
        <is>
          <t>₩/월</t>
        </is>
      </c>
      <c r="D29" s="38">
        <f>$B$29/$B$19</f>
        <v/>
      </c>
      <c r="E29" s="38">
        <f>b_bm13</f>
        <v/>
      </c>
      <c r="F29" s="40">
        <f>(D29-E29)*100</f>
        <v/>
      </c>
      <c r="G29" s="32" t="inlineStr">
        <is>
          <t>drv_food_cost</t>
        </is>
      </c>
    </row>
    <row r="30">
      <c r="A30" s="39" t="inlineStr">
        <is>
          <t xml:space="preserve">  알바 인건비</t>
        </is>
      </c>
      <c r="B30" s="36">
        <f>v_sto_parttimers*v_sto_parttime_shift_hours*$B$10*v_sto_parttime_wage*v_cst_holiday_pay_factor</f>
        <v/>
      </c>
      <c r="C30" s="30" t="inlineStr">
        <is>
          <t>₩/월</t>
        </is>
      </c>
      <c r="D30" s="38">
        <f>$B$30/$B$19</f>
        <v/>
      </c>
      <c r="E30" s="31" t="n"/>
      <c r="F30" s="31" t="n"/>
      <c r="G30" s="32" t="inlineStr">
        <is>
          <t>알바 수 × 시간 × 영업일 × 시급 × 주휴계수</t>
        </is>
      </c>
    </row>
    <row r="31">
      <c r="A31" s="39" t="inlineStr">
        <is>
          <t xml:space="preserve">  정직원 인건비</t>
        </is>
      </c>
      <c r="B31" s="36">
        <f>v_sto_employees*v_cst_employee_wage</f>
        <v/>
      </c>
      <c r="C31" s="30" t="inlineStr">
        <is>
          <t>₩/월</t>
        </is>
      </c>
      <c r="D31" s="38">
        <f>$B$31/$B$19</f>
        <v/>
      </c>
      <c r="E31" s="31" t="n"/>
      <c r="F31" s="31" t="n"/>
      <c r="G31" s="32" t="inlineStr">
        <is>
          <t>정직원 수 × 월급</t>
        </is>
      </c>
    </row>
    <row r="32">
      <c r="A32" s="39" t="inlineStr">
        <is>
          <t xml:space="preserve">  대표자 귀속 인건비</t>
        </is>
      </c>
      <c r="B32" s="36">
        <f>v_cst_owner_imputed_wage</f>
        <v/>
      </c>
      <c r="C32" s="30" t="inlineStr">
        <is>
          <t>₩/월</t>
        </is>
      </c>
      <c r="D32" s="38">
        <f>$B$32/$B$19</f>
        <v/>
      </c>
      <c r="E32" s="31" t="n"/>
      <c r="F32" s="31" t="n"/>
      <c r="G32" s="32" t="inlineStr">
        <is>
          <t>KREI 기준 인건비에 포함</t>
        </is>
      </c>
    </row>
    <row r="33">
      <c r="A33" s="28" t="inlineStr">
        <is>
          <t>인건비</t>
        </is>
      </c>
      <c r="B33" s="36">
        <f>$B$30+$B$31+$B$32</f>
        <v/>
      </c>
      <c r="C33" s="30" t="inlineStr">
        <is>
          <t>₩/월</t>
        </is>
      </c>
      <c r="D33" s="38">
        <f>$B$33/$B$19</f>
        <v/>
      </c>
      <c r="E33" s="38">
        <f>b_bm15</f>
        <v/>
      </c>
      <c r="F33" s="40">
        <f>(D33-E33)*100</f>
        <v/>
      </c>
      <c r="G33" s="32" t="inlineStr">
        <is>
          <t>drv_labor_cost</t>
        </is>
      </c>
    </row>
    <row r="34">
      <c r="A34" s="28" t="inlineStr">
        <is>
          <t>임차료</t>
        </is>
      </c>
      <c r="B34" s="36">
        <f>v_drv_rent</f>
        <v/>
      </c>
      <c r="C34" s="30" t="inlineStr">
        <is>
          <t>₩/월</t>
        </is>
      </c>
      <c r="D34" s="38">
        <f>$B$34/$B$19</f>
        <v/>
      </c>
      <c r="E34" s="38">
        <f>b_bm17</f>
        <v/>
      </c>
      <c r="F34" s="40">
        <f>(D34-E34)*100</f>
        <v/>
      </c>
      <c r="G34" s="32" t="inlineStr">
        <is>
          <t>drv_rent (R-ONE 혜화동 1층 시세)</t>
        </is>
      </c>
    </row>
    <row r="35">
      <c r="A35" s="39" t="inlineStr">
        <is>
          <t xml:space="preserve">  공과금·가스·숯</t>
        </is>
      </c>
      <c r="B35" s="36">
        <f>v_cst_utilities</f>
        <v/>
      </c>
      <c r="C35" s="30" t="inlineStr">
        <is>
          <t>₩/월</t>
        </is>
      </c>
      <c r="D35" s="38">
        <f>$B$35/$B$19</f>
        <v/>
      </c>
      <c r="E35" s="31" t="n"/>
      <c r="F35" s="31" t="n"/>
      <c r="G35" s="32" t="inlineStr"/>
    </row>
    <row r="36">
      <c r="A36" s="39" t="inlineStr">
        <is>
          <t xml:space="preserve">  기타경비</t>
        </is>
      </c>
      <c r="B36" s="36">
        <f>v_cst_other_opex</f>
        <v/>
      </c>
      <c r="C36" s="30" t="inlineStr">
        <is>
          <t>₩/월</t>
        </is>
      </c>
      <c r="D36" s="38">
        <f>$B$36/$B$19</f>
        <v/>
      </c>
      <c r="E36" s="31" t="n"/>
      <c r="F36" s="31" t="n"/>
      <c r="G36" s="32" t="inlineStr"/>
    </row>
    <row r="37">
      <c r="A37" s="28" t="inlineStr">
        <is>
          <t>관리비</t>
        </is>
      </c>
      <c r="B37" s="36">
        <f>$B$35+$B$36</f>
        <v/>
      </c>
      <c r="C37" s="30" t="inlineStr">
        <is>
          <t>₩/월</t>
        </is>
      </c>
      <c r="D37" s="38">
        <f>$B$37/$B$19</f>
        <v/>
      </c>
      <c r="E37" s="31" t="n"/>
      <c r="F37" s="31" t="n"/>
      <c r="G37" s="32" t="inlineStr">
        <is>
          <t>drv_mgmt_cost</t>
        </is>
      </c>
    </row>
    <row r="38">
      <c r="A38" s="28" t="inlineStr">
        <is>
          <t>수수료</t>
        </is>
      </c>
      <c r="B38" s="36">
        <f>$B$19*v_cst_card_share*v_cst_card_fee_rate</f>
        <v/>
      </c>
      <c r="C38" s="30" t="inlineStr">
        <is>
          <t>₩/월</t>
        </is>
      </c>
      <c r="D38" s="38">
        <f>$B$38/$B$19</f>
        <v/>
      </c>
      <c r="E38" s="31" t="n"/>
      <c r="F38" s="31" t="n"/>
      <c r="G38" s="32" t="inlineStr">
        <is>
          <t>매출 × 카드 비중 × 수수료율</t>
        </is>
      </c>
    </row>
    <row r="39">
      <c r="A39" s="28" t="inlineStr">
        <is>
          <t>관리비 + 수수료</t>
        </is>
      </c>
      <c r="B39" s="36">
        <f>$B$37+$B$38</f>
        <v/>
      </c>
      <c r="C39" s="30" t="inlineStr">
        <is>
          <t>₩/월</t>
        </is>
      </c>
      <c r="D39" s="38">
        <f>$B$39/$B$19</f>
        <v/>
      </c>
      <c r="E39" s="38">
        <f>b_bm19</f>
        <v/>
      </c>
      <c r="F39" s="40">
        <f>(D39-E39)*100</f>
        <v/>
      </c>
      <c r="G39" s="32" t="inlineStr">
        <is>
          <t>KREI 잔여 비용과 비교</t>
        </is>
      </c>
    </row>
    <row r="40">
      <c r="A40" s="28" t="inlineStr">
        <is>
          <t>총비용</t>
        </is>
      </c>
      <c r="B40" s="36">
        <f>$B$29+$B$33+$B$34+$B$37+$B$38</f>
        <v/>
      </c>
      <c r="C40" s="30" t="inlineStr">
        <is>
          <t>₩/월</t>
        </is>
      </c>
      <c r="D40" s="38">
        <f>$B$40/$B$19</f>
        <v/>
      </c>
      <c r="E40" s="31" t="n"/>
      <c r="F40" s="31" t="n"/>
      <c r="G40" s="32" t="inlineStr">
        <is>
          <t>drv_total_cost</t>
        </is>
      </c>
    </row>
    <row r="41">
      <c r="A41" s="26" t="inlineStr">
        <is>
          <t>이익·KPI</t>
        </is>
      </c>
      <c r="B41" s="27" t="n"/>
      <c r="C41" s="27" t="n"/>
      <c r="D41" s="27" t="n"/>
      <c r="E41" s="27" t="n"/>
      <c r="F41" s="27" t="n"/>
      <c r="G41" s="27" t="n"/>
    </row>
    <row r="42">
      <c r="A42" s="28" t="inlineStr">
        <is>
          <t>영업이익</t>
        </is>
      </c>
      <c r="B42" s="37">
        <f>$B$19-$B$40</f>
        <v/>
      </c>
      <c r="C42" s="30" t="inlineStr">
        <is>
          <t>₩/월</t>
        </is>
      </c>
      <c r="D42" s="38">
        <f>$B$42/$B$19</f>
        <v/>
      </c>
      <c r="E42" s="38">
        <f>b_bm11</f>
        <v/>
      </c>
      <c r="F42" s="40">
        <f>(D42-E42)*100</f>
        <v/>
      </c>
      <c r="G42" s="32" t="inlineStr">
        <is>
          <t>drv_operating_profit (대표자 인건비 차감 후)</t>
        </is>
      </c>
    </row>
    <row r="43">
      <c r="A43" s="28" t="inlineStr">
        <is>
          <t>사장 실수령 (영업이익 + 대표자 인건비)</t>
        </is>
      </c>
      <c r="B43" s="36">
        <f>$B$42+$B$32</f>
        <v/>
      </c>
      <c r="C43" s="30" t="inlineStr">
        <is>
          <t>₩/월</t>
        </is>
      </c>
      <c r="D43" s="38">
        <f>$B$43/$B$19</f>
        <v/>
      </c>
      <c r="E43" s="31" t="n"/>
      <c r="F43" s="31" t="n"/>
      <c r="G43" s="32" t="inlineStr">
        <is>
          <t>세전</t>
        </is>
      </c>
    </row>
    <row r="44">
      <c r="A44" s="28" t="inlineStr">
        <is>
          <t>RevPASH</t>
        </is>
      </c>
      <c r="B44" s="36">
        <f>$B$19/($B$6*v_drv_open_hours*$B$10)</f>
        <v/>
      </c>
      <c r="C44" s="30" t="inlineStr">
        <is>
          <t>₩/석·시간</t>
        </is>
      </c>
      <c r="D44" s="31" t="n"/>
      <c r="E44" s="31" t="n"/>
      <c r="F44" s="31" t="n"/>
      <c r="G44" s="32" t="inlineStr">
        <is>
          <t>매출 ÷ (좌석 × 영업시간 × 영업일)</t>
        </is>
      </c>
    </row>
    <row r="45">
      <c r="A45" s="28" t="inlineStr">
        <is>
          <t>상대매출 (앵커 대비)</t>
        </is>
      </c>
      <c r="B45" s="33">
        <f>$B$19/b_bm03</f>
        <v/>
      </c>
      <c r="C45" s="30" t="inlineStr">
        <is>
          <t>배</t>
        </is>
      </c>
      <c r="D45" s="31" t="n"/>
      <c r="E45" s="31" t="n"/>
      <c r="F45" s="31" t="n"/>
      <c r="G45" s="32" t="inlineStr">
        <is>
          <t>lbl_rel_revenue_tercile 입력</t>
        </is>
      </c>
    </row>
    <row r="46">
      <c r="A46" s="28" t="inlineStr">
        <is>
          <t>월 고기 발주량</t>
        </is>
      </c>
      <c r="B46" s="41">
        <f>$B$11*v_prd_portions_per_cover*v_prd_portion_grams/1000</f>
        <v/>
      </c>
      <c r="C46" s="30" t="inlineStr">
        <is>
          <t>kg/월</t>
        </is>
      </c>
      <c r="D46" s="31" t="n"/>
      <c r="E46" s="31" t="n"/>
      <c r="F46" s="31" t="n"/>
      <c r="G46" s="32" t="inlineStr">
        <is>
          <t>cst_order_volume</t>
        </is>
      </c>
    </row>
    <row r="47">
      <c r="A47" s="28" t="inlineStr">
        <is>
          <t>손익분기 월 고객수</t>
        </is>
      </c>
      <c r="B47" s="35">
        <f>($B$33+$B$34+$B$37)/($B$17-($B$29/$B$11)-$B$17*v_cst_card_share*v_cst_card_fee_rate)</f>
        <v/>
      </c>
      <c r="C47" s="30" t="inlineStr">
        <is>
          <t>명/월</t>
        </is>
      </c>
      <c r="D47" s="31" t="n"/>
      <c r="E47" s="31" t="n"/>
      <c r="F47" s="31" t="n"/>
      <c r="G47" s="32" t="inlineStr">
        <is>
          <t>고정비 ÷ 1인 공헌이익 (인건비를 고정비로 취급)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48" customWidth="1" min="8" max="8"/>
    <col width="14" customWidth="1" min="9" max="9"/>
    <col width="52" customWidth="1" min="10" max="10"/>
    <col width="10" customWidth="1" min="11" max="11"/>
  </cols>
  <sheetData>
    <row r="1">
      <c r="A1" s="8" t="inlineStr">
        <is>
          <t>shock_id</t>
        </is>
      </c>
      <c r="B1" s="8" t="inlineStr">
        <is>
          <t>driver</t>
        </is>
      </c>
      <c r="C1" s="8" t="inlineStr">
        <is>
          <t>parameter</t>
        </is>
      </c>
      <c r="D1" s="8" t="inlineStr">
        <is>
          <t>delta_type</t>
        </is>
      </c>
      <c r="E1" s="8" t="inlineStr">
        <is>
          <t>delta_low</t>
        </is>
      </c>
      <c r="F1" s="8" t="inlineStr">
        <is>
          <t>delta_base</t>
        </is>
      </c>
      <c r="G1" s="8" t="inlineStr">
        <is>
          <t>delta_high</t>
        </is>
      </c>
      <c r="H1" s="8" t="inlineStr">
        <is>
          <t>mechanism</t>
        </is>
      </c>
      <c r="I1" s="8" t="inlineStr">
        <is>
          <t>source_id</t>
        </is>
      </c>
      <c r="J1" s="8" t="inlineStr">
        <is>
          <t>rationale</t>
        </is>
      </c>
      <c r="K1" s="8" t="inlineStr">
        <is>
          <t>confidence</t>
        </is>
      </c>
    </row>
    <row r="2">
      <c r="A2" s="3" t="inlineStr">
        <is>
          <t>SH01</t>
        </is>
      </c>
      <c r="B2" s="3" t="inlineStr">
        <is>
          <t>가격</t>
        </is>
      </c>
      <c r="C2" s="3" t="inlineStr">
        <is>
          <t>prd_meat_price</t>
        </is>
      </c>
      <c r="D2" s="3" t="inlineStr">
        <is>
          <t>pct</t>
        </is>
      </c>
      <c r="E2" s="42" t="n">
        <v>0.05</v>
      </c>
      <c r="F2" s="42" t="n">
        <v>0.1</v>
      </c>
      <c r="G2" s="42" t="n">
        <v>0.15</v>
      </c>
      <c r="H2" s="3" t="inlineStr">
        <is>
          <t>고기 가격이 오르면 객단가는 오르고, 가격탄력성만큼 찾아오는 손님이 줄어든다</t>
        </is>
      </c>
      <c r="I2" s="3" t="inlineStr">
        <is>
          <t>S23;S25</t>
        </is>
      </c>
      <c r="J2" s="3" t="inlineStr">
        <is>
          <t>인상폭과 가격탄력성(mkt_price_elasticity)은 가정값</t>
        </is>
      </c>
      <c r="K2" s="3" t="inlineStr">
        <is>
          <t>L</t>
        </is>
      </c>
    </row>
    <row r="3">
      <c r="A3" s="3" t="inlineStr">
        <is>
          <t>SH02</t>
        </is>
      </c>
      <c r="B3" s="3" t="inlineStr">
        <is>
          <t>가격</t>
        </is>
      </c>
      <c r="C3" s="3" t="inlineStr">
        <is>
          <t>prd_meat_price</t>
        </is>
      </c>
      <c r="D3" s="3" t="inlineStr">
        <is>
          <t>pct</t>
        </is>
      </c>
      <c r="E3" s="42" t="n">
        <v>-0.05</v>
      </c>
      <c r="F3" s="42" t="n">
        <v>-0.1</v>
      </c>
      <c r="G3" s="42" t="n">
        <v>-0.15</v>
      </c>
      <c r="H3" s="3" t="inlineStr">
        <is>
          <t>고기 가격이 내리면 객단가는 내려가고, 좌석이 남는 한 손님이 늘어난다</t>
        </is>
      </c>
      <c r="I3" s="3" t="inlineStr">
        <is>
          <t>S23;S25</t>
        </is>
      </c>
      <c r="J3" s="3" t="inlineStr">
        <is>
          <t>인하폭은 가정값</t>
        </is>
      </c>
      <c r="K3" s="3" t="inlineStr">
        <is>
          <t>L</t>
        </is>
      </c>
    </row>
    <row r="4">
      <c r="A4" s="3" t="inlineStr">
        <is>
          <t>SH03</t>
        </is>
      </c>
      <c r="B4" s="3" t="inlineStr">
        <is>
          <t>COGS</t>
        </is>
      </c>
      <c r="C4" s="3" t="inlineStr">
        <is>
          <t>cst_meat_cost_per_portion</t>
        </is>
      </c>
      <c r="D4" s="3" t="inlineStr">
        <is>
          <t>pct</t>
        </is>
      </c>
      <c r="E4" s="42" t="n">
        <v>0.05</v>
      </c>
      <c r="F4" s="42" t="n">
        <v>0.08</v>
      </c>
      <c r="G4" s="42" t="n">
        <v>0.28</v>
      </c>
      <c r="H4" s="3" t="inlineStr">
        <is>
          <t>1인분 원가가 오른다. 사장은 그대로 버티거나 가격에 반영할 수 있다</t>
        </is>
      </c>
      <c r="I4" s="3" t="inlineStr">
        <is>
          <t>S68;S48</t>
        </is>
      </c>
      <c r="J4" s="3" t="inlineStr">
        <is>
          <t>삼겹 부분육 도매가는 2024년 대비 2025년 +8.1%, 월별 전년 대비 최대 +15%, 1월 대비 8월 +28%</t>
        </is>
      </c>
      <c r="K4" s="3" t="inlineStr">
        <is>
          <t>M</t>
        </is>
      </c>
    </row>
    <row r="5">
      <c r="A5" s="3" t="inlineStr">
        <is>
          <t>SH04</t>
        </is>
      </c>
      <c r="B5" s="3" t="inlineStr">
        <is>
          <t>주류</t>
        </is>
      </c>
      <c r="C5" s="3" t="inlineStr">
        <is>
          <t>prd_alcohol_price</t>
        </is>
      </c>
      <c r="D5" s="3" t="inlineStr">
        <is>
          <t>abs</t>
        </is>
      </c>
      <c r="E5" s="43" t="n">
        <v>500</v>
      </c>
      <c r="F5" s="43" t="n">
        <v>1000</v>
      </c>
      <c r="G5" s="43" t="n">
        <v>1500</v>
      </c>
      <c r="H5" s="3" t="inlineStr">
        <is>
          <t>객단가는 오르고, 1인당 소주 병수는 가격탄력성만큼 줄어든다</t>
        </is>
      </c>
      <c r="I5" s="3" t="inlineStr">
        <is>
          <t>S25;S26;S27</t>
        </is>
      </c>
      <c r="J5" s="3" t="inlineStr">
        <is>
          <t>소주 4,000~6,000원(마포)과 7,000~8,000원(강남) 사례</t>
        </is>
      </c>
      <c r="K5" s="3" t="inlineStr">
        <is>
          <t>M</t>
        </is>
      </c>
    </row>
    <row r="6">
      <c r="A6" s="3" t="inlineStr">
        <is>
          <t>SH05</t>
        </is>
      </c>
      <c r="B6" s="3" t="inlineStr">
        <is>
          <t>주류</t>
        </is>
      </c>
      <c r="C6" s="3" t="inlineStr">
        <is>
          <t>prd_alcohol_per_cover</t>
        </is>
      </c>
      <c r="D6" s="3" t="inlineStr">
        <is>
          <t>pct</t>
        </is>
      </c>
      <c r="E6" s="42" t="n">
        <v>-0.1</v>
      </c>
      <c r="F6" s="42" t="n">
        <v>-0.2</v>
      </c>
      <c r="G6" s="42" t="n">
        <v>-0.3</v>
      </c>
      <c r="H6" s="3" t="inlineStr">
        <is>
          <t>주류 매출 비중이 줄어 이익률이 높은 매출이 빠진다</t>
        </is>
      </c>
      <c r="I6" s="3" t="inlineStr">
        <is>
          <t>S27;S30</t>
        </is>
      </c>
      <c r="J6" s="3" t="inlineStr">
        <is>
          <t>음주 감소 폭은 가정값</t>
        </is>
      </c>
      <c r="K6" s="3" t="inlineStr">
        <is>
          <t>L</t>
        </is>
      </c>
    </row>
    <row r="7">
      <c r="A7" s="3" t="inlineStr">
        <is>
          <t>SH06</t>
        </is>
      </c>
      <c r="B7" s="3" t="inlineStr">
        <is>
          <t>인건비</t>
        </is>
      </c>
      <c r="C7" s="3" t="inlineStr">
        <is>
          <t>sto_parttime_wage</t>
        </is>
      </c>
      <c r="D7" s="3" t="inlineStr">
        <is>
          <t>pct</t>
        </is>
      </c>
      <c r="E7" s="42" t="n">
        <v>0.029</v>
      </c>
      <c r="F7" s="42" t="n">
        <v>0.05</v>
      </c>
      <c r="G7" s="42" t="n">
        <v>0.1</v>
      </c>
      <c r="H7" s="3" t="inlineStr">
        <is>
          <t>알바 인건비가 오른다</t>
        </is>
      </c>
      <c r="I7" s="3" t="inlineStr">
        <is>
          <t>S36</t>
        </is>
      </c>
      <c r="J7" s="3" t="inlineStr">
        <is>
          <t>2026년 인상률 2.9%를 하한으로 둔다</t>
        </is>
      </c>
      <c r="K7" s="3" t="inlineStr">
        <is>
          <t>M</t>
        </is>
      </c>
    </row>
    <row r="8">
      <c r="A8" s="3" t="inlineStr">
        <is>
          <t>SH07</t>
        </is>
      </c>
      <c r="B8" s="3" t="inlineStr">
        <is>
          <t>인건비</t>
        </is>
      </c>
      <c r="C8" s="3" t="inlineStr">
        <is>
          <t>sto_parttimers</t>
        </is>
      </c>
      <c r="D8" s="3" t="inlineStr">
        <is>
          <t>abs</t>
        </is>
      </c>
      <c r="E8" s="43" t="n">
        <v>-1</v>
      </c>
      <c r="F8" s="43" t="n">
        <v>-1</v>
      </c>
      <c r="G8" s="43" t="n">
        <v>-1</v>
      </c>
      <c r="H8" s="3" t="inlineStr">
        <is>
          <t>인건비는 줄지만 서빙 인력이 줄어 대기와 이탈이 늘 수 있다</t>
        </is>
      </c>
      <c r="I8" s="3" t="inlineStr">
        <is>
          <t>S31</t>
        </is>
      </c>
      <c r="J8" s="3" t="inlineStr">
        <is>
          <t>교대당 알바 1명 감축</t>
        </is>
      </c>
      <c r="K8" s="3" t="inlineStr">
        <is>
          <t>L</t>
        </is>
      </c>
    </row>
    <row r="9">
      <c r="A9" s="3" t="inlineStr">
        <is>
          <t>SH08</t>
        </is>
      </c>
      <c r="B9" s="3" t="inlineStr">
        <is>
          <t>임차료</t>
        </is>
      </c>
      <c r="C9" s="3" t="inlineStr">
        <is>
          <t>drv_rent</t>
        </is>
      </c>
      <c r="D9" s="3" t="inlineStr">
        <is>
          <t>pct</t>
        </is>
      </c>
      <c r="E9" s="42" t="n">
        <v>0.05</v>
      </c>
      <c r="F9" s="42" t="n">
        <v>0.05</v>
      </c>
      <c r="G9" s="42" t="n">
        <v>0.15</v>
      </c>
      <c r="H9" s="3" t="inlineStr">
        <is>
          <t>재계약 때 임대료가 오르면 고정비가 늘어 손익분기 손님 수가 늘어난다</t>
        </is>
      </c>
      <c r="I9" s="3" t="inlineStr">
        <is>
          <t>S57;S52</t>
        </is>
      </c>
      <c r="J9" s="3" t="inlineStr">
        <is>
          <t>재계약 때는 법정 상한 5%(환산보증금 9억 이하). +15%는 새로 계약할 때만 가능</t>
        </is>
      </c>
      <c r="K9" s="3" t="inlineStr">
        <is>
          <t>H</t>
        </is>
      </c>
    </row>
    <row r="10">
      <c r="A10" s="3" t="inlineStr">
        <is>
          <t>SH09</t>
        </is>
      </c>
      <c r="B10" s="3" t="inlineStr">
        <is>
          <t>수요</t>
        </is>
      </c>
      <c r="C10" s="3" t="inlineStr">
        <is>
          <t>drv_arrival_rate</t>
        </is>
      </c>
      <c r="D10" s="3" t="inlineStr">
        <is>
          <t>pct</t>
        </is>
      </c>
      <c r="E10" s="42" t="n">
        <v>-0.05</v>
      </c>
      <c r="F10" s="42" t="n">
        <v>-0.08</v>
      </c>
      <c r="G10" s="42" t="n">
        <v>-0.15</v>
      </c>
      <c r="H10" s="3" t="inlineStr">
        <is>
          <t>방학과 비수기에는 찾아오는 손님이 줄어든다</t>
        </is>
      </c>
      <c r="I10" s="3" t="inlineStr">
        <is>
          <t>S12;S59</t>
        </is>
      </c>
      <c r="J10" s="3" t="inlineStr">
        <is>
          <t>대학로 한식 3분기 매출은 2분기의 0.96배(전체), 0.92배(21~24시)라 방학 달은 −6%~−11%</t>
        </is>
      </c>
      <c r="K10" s="3" t="inlineStr">
        <is>
          <t>H</t>
        </is>
      </c>
    </row>
    <row r="11">
      <c r="A11" s="3" t="inlineStr">
        <is>
          <t>SH10</t>
        </is>
      </c>
      <c r="B11" s="3" t="inlineStr">
        <is>
          <t>수요(비)</t>
        </is>
      </c>
      <c r="C11" s="3" t="inlineStr">
        <is>
          <t>wx_rain_nights_share</t>
        </is>
      </c>
      <c r="D11" s="3" t="inlineStr">
        <is>
          <t>set</t>
        </is>
      </c>
      <c r="E11" s="43" t="n">
        <v>0.13</v>
      </c>
      <c r="F11" s="43" t="n">
        <v>0.19</v>
      </c>
      <c r="G11" s="43" t="n">
        <v>0.35</v>
      </c>
      <c r="H11" s="3" t="inlineStr">
        <is>
          <t>비 오는 밤에는 야장을 접고 손님이 줄어든다. 평년 10월처럼 한 달에 6일쯤</t>
        </is>
      </c>
      <c r="I11" s="3" t="inlineStr">
        <is>
          <t>S75</t>
        </is>
      </c>
      <c r="J11" s="3" t="inlineStr">
        <is>
          <t>기상청 10월 전국 평년 강수일수 5.9일 (1991~2020) ÷ 31일. 비 오는 밤 손님 감소폭(−10%)은 가정</t>
        </is>
      </c>
      <c r="K11" s="3" t="inlineStr">
        <is>
          <t>M</t>
        </is>
      </c>
    </row>
    <row r="12">
      <c r="A12" s="3" t="inlineStr">
        <is>
          <t>SH10b</t>
        </is>
      </c>
      <c r="B12" s="3" t="inlineStr">
        <is>
          <t>수요(비)</t>
        </is>
      </c>
      <c r="C12" s="3" t="inlineStr">
        <is>
          <t>wx_rain_nights_share</t>
        </is>
      </c>
      <c r="D12" s="3" t="inlineStr">
        <is>
          <t>set</t>
        </is>
      </c>
      <c r="E12" s="43" t="n">
        <v>1</v>
      </c>
      <c r="F12" s="43" t="n">
        <v>1</v>
      </c>
      <c r="G12" s="43" t="n">
        <v>1</v>
      </c>
      <c r="H12" s="3" t="inlineStr">
        <is>
          <t>한 달 내내 비가 와 야장을 한 번도 못 펴고 매일 손님이 줄어든다 (최악의 경우)</t>
        </is>
      </c>
      <c r="I12" s="3" t="inlineStr">
        <is>
          <t>S75</t>
        </is>
      </c>
      <c r="J12" s="3" t="inlineStr">
        <is>
          <t>현실적인 달이 아니라 상한. 비 오는 밤 손님 감소폭(−10%)은 가정</t>
        </is>
      </c>
      <c r="K12" s="3" t="inlineStr">
        <is>
          <t>L</t>
        </is>
      </c>
    </row>
    <row r="13">
      <c r="A13" s="3" t="inlineStr">
        <is>
          <t>SH11</t>
        </is>
      </c>
      <c r="B13" s="3" t="inlineStr">
        <is>
          <t>경쟁</t>
        </is>
      </c>
      <c r="C13" s="3" t="inlineStr">
        <is>
          <t>reg_competitors</t>
        </is>
      </c>
      <c r="D13" s="3" t="inlineStr">
        <is>
          <t>abs</t>
        </is>
      </c>
      <c r="E13" s="43" t="n">
        <v>1</v>
      </c>
      <c r="F13" s="43" t="n">
        <v>1</v>
      </c>
      <c r="G13" s="43" t="n">
        <v>1</v>
      </c>
      <c r="H13" s="3" t="inlineStr">
        <is>
          <t>근처에 경쟁 고깃집이 한 곳 문을 연다</t>
        </is>
      </c>
      <c r="I13" s="3" t="inlineStr">
        <is>
          <t>S20</t>
        </is>
      </c>
      <c r="J13" s="3" t="inlineStr">
        <is>
          <t>27곳에서 28곳으로</t>
        </is>
      </c>
      <c r="K13" s="3" t="inlineStr">
        <is>
          <t>H</t>
        </is>
      </c>
    </row>
    <row r="14">
      <c r="A14" s="3" t="inlineStr">
        <is>
          <t>SH11</t>
        </is>
      </c>
      <c r="B14" s="3" t="inlineStr">
        <is>
          <t>경쟁</t>
        </is>
      </c>
      <c r="C14" s="3" t="inlineStr">
        <is>
          <t>drv_arrival_rate</t>
        </is>
      </c>
      <c r="D14" s="3" t="inlineStr">
        <is>
          <t>pct</t>
        </is>
      </c>
      <c r="E14" s="42" t="n">
        <v>-0.05</v>
      </c>
      <c r="F14" s="42" t="n">
        <v>-0.1</v>
      </c>
      <c r="G14" s="42" t="n">
        <v>-0.2</v>
      </c>
      <c r="H14" s="3" t="inlineStr">
        <is>
          <t>거리에 따라 손님을 나눠 갖는다</t>
        </is>
      </c>
      <c r="I14" s="3" t="inlineStr">
        <is>
          <t>S20</t>
        </is>
      </c>
      <c r="J14" s="3" t="inlineStr">
        <is>
          <t>균등하게 나누면 3.6% 감소, 바로 옆 개점이면 더 크다 (가정)</t>
        </is>
      </c>
      <c r="K14" s="3" t="inlineStr">
        <is>
          <t>L</t>
        </is>
      </c>
    </row>
  </sheetData>
  <autoFilter ref="A1:K14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6" customWidth="1" min="3" max="3"/>
    <col width="56" customWidth="1" min="4" max="4"/>
    <col width="14" customWidth="1" min="5" max="5"/>
    <col width="11" customWidth="1" min="6" max="6"/>
  </cols>
  <sheetData>
    <row r="1">
      <c r="A1" s="8" t="inlineStr">
        <is>
          <t>from_id</t>
        </is>
      </c>
      <c r="B1" s="8" t="inlineStr">
        <is>
          <t>to_id</t>
        </is>
      </c>
      <c r="C1" s="8" t="inlineStr">
        <is>
          <t>sign</t>
        </is>
      </c>
      <c r="D1" s="8" t="inlineStr">
        <is>
          <t>mechanism_ko</t>
        </is>
      </c>
      <c r="E1" s="8" t="inlineStr">
        <is>
          <t>source_id</t>
        </is>
      </c>
      <c r="F1" s="8" t="inlineStr">
        <is>
          <t>confidence</t>
        </is>
      </c>
    </row>
    <row r="2">
      <c r="A2" s="3" t="inlineStr">
        <is>
          <t>drv_revenue</t>
        </is>
      </c>
      <c r="B2" s="3" t="inlineStr">
        <is>
          <t>drv_operating_profit</t>
        </is>
      </c>
      <c r="C2" s="3" t="inlineStr">
        <is>
          <t>+</t>
        </is>
      </c>
      <c r="D2" s="3" t="inlineStr">
        <is>
          <t>영업이익 = 매출 − 총비용 (항등식)</t>
        </is>
      </c>
      <c r="E2" s="3" t="inlineStr">
        <is>
          <t>S31</t>
        </is>
      </c>
      <c r="F2" s="3" t="inlineStr">
        <is>
          <t>H</t>
        </is>
      </c>
    </row>
    <row r="3">
      <c r="A3" s="3" t="inlineStr">
        <is>
          <t>drv_total_cost</t>
        </is>
      </c>
      <c r="B3" s="3" t="inlineStr">
        <is>
          <t>drv_operating_profit</t>
        </is>
      </c>
      <c r="C3" s="3" t="inlineStr">
        <is>
          <t>−</t>
        </is>
      </c>
      <c r="D3" s="3" t="inlineStr">
        <is>
          <t>영업이익 = 매출 − 총비용 (항등식)</t>
        </is>
      </c>
      <c r="E3" s="3" t="inlineStr">
        <is>
          <t>S31</t>
        </is>
      </c>
      <c r="F3" s="3" t="inlineStr">
        <is>
          <t>H</t>
        </is>
      </c>
    </row>
    <row r="4">
      <c r="A4" s="3" t="inlineStr">
        <is>
          <t>drv_covers</t>
        </is>
      </c>
      <c r="B4" s="3" t="inlineStr">
        <is>
          <t>drv_revenue</t>
        </is>
      </c>
      <c r="C4" s="3" t="inlineStr">
        <is>
          <t>+</t>
        </is>
      </c>
      <c r="D4" s="3" t="inlineStr">
        <is>
          <t>매출 = 착석고객수 × 객단가 × 영업일수</t>
        </is>
      </c>
      <c r="E4" s="3" t="inlineStr"/>
      <c r="F4" s="3" t="inlineStr">
        <is>
          <t>H</t>
        </is>
      </c>
    </row>
    <row r="5">
      <c r="A5" s="3" t="inlineStr">
        <is>
          <t>drv_ticket</t>
        </is>
      </c>
      <c r="B5" s="3" t="inlineStr">
        <is>
          <t>drv_revenue</t>
        </is>
      </c>
      <c r="C5" s="3" t="inlineStr">
        <is>
          <t>+</t>
        </is>
      </c>
      <c r="D5" s="3" t="inlineStr">
        <is>
          <t>매출 = 착석고객수 × 객단가 × 영업일수</t>
        </is>
      </c>
      <c r="E5" s="3" t="inlineStr"/>
      <c r="F5" s="3" t="inlineStr">
        <is>
          <t>H</t>
        </is>
      </c>
    </row>
    <row r="6">
      <c r="A6" s="3" t="inlineStr">
        <is>
          <t>sto_open_days</t>
        </is>
      </c>
      <c r="B6" s="3" t="inlineStr">
        <is>
          <t>drv_revenue</t>
        </is>
      </c>
      <c r="C6" s="3" t="inlineStr">
        <is>
          <t>+</t>
        </is>
      </c>
      <c r="D6" s="3" t="inlineStr">
        <is>
          <t>영업일이 늘면 월 매출 비례 증가</t>
        </is>
      </c>
      <c r="E6" s="3" t="inlineStr"/>
      <c r="F6" s="3" t="inlineStr">
        <is>
          <t>H</t>
        </is>
      </c>
    </row>
    <row r="7">
      <c r="A7" s="3" t="inlineStr">
        <is>
          <t>drv_arrival_rate</t>
        </is>
      </c>
      <c r="B7" s="3" t="inlineStr">
        <is>
          <t>drv_covers</t>
        </is>
      </c>
      <c r="C7" s="3" t="inlineStr">
        <is>
          <t>+</t>
        </is>
      </c>
      <c r="D7" s="3" t="inlineStr">
        <is>
          <t>도착 팀이 많을수록 착석 고객 증가 (좌석 한도 내)</t>
        </is>
      </c>
      <c r="E7" s="3" t="inlineStr"/>
      <c r="F7" s="3" t="inlineStr">
        <is>
          <t>H</t>
        </is>
      </c>
    </row>
    <row r="8">
      <c r="A8" s="3" t="inlineStr">
        <is>
          <t>drv_seats</t>
        </is>
      </c>
      <c r="B8" s="3" t="inlineStr">
        <is>
          <t>drv_covers</t>
        </is>
      </c>
      <c r="C8" s="3" t="inlineStr">
        <is>
          <t>+</t>
        </is>
      </c>
      <c r="D8" s="3" t="inlineStr">
        <is>
          <t>피크 시간 좌석이 병목이면 좌석 증가 = 착석 증가</t>
        </is>
      </c>
      <c r="E8" s="3" t="inlineStr">
        <is>
          <t>S02</t>
        </is>
      </c>
      <c r="F8" s="3" t="inlineStr">
        <is>
          <t>H</t>
        </is>
      </c>
    </row>
    <row r="9">
      <c r="A9" s="3" t="inlineStr">
        <is>
          <t>drv_dwell_time</t>
        </is>
      </c>
      <c r="B9" s="3" t="inlineStr">
        <is>
          <t>drv_covers</t>
        </is>
      </c>
      <c r="C9" s="3" t="inlineStr">
        <is>
          <t>−</t>
        </is>
      </c>
      <c r="D9" s="3" t="inlineStr">
        <is>
          <t>좌석 병목 시 체류가 길면 회전이 줄어 착석 감소</t>
        </is>
      </c>
      <c r="E9" s="3" t="inlineStr"/>
      <c r="F9" s="3" t="inlineStr">
        <is>
          <t>M</t>
        </is>
      </c>
    </row>
    <row r="10">
      <c r="A10" s="3" t="inlineStr">
        <is>
          <t>drv_balk_rate</t>
        </is>
      </c>
      <c r="B10" s="3" t="inlineStr">
        <is>
          <t>drv_covers</t>
        </is>
      </c>
      <c r="C10" s="3" t="inlineStr">
        <is>
          <t>−</t>
        </is>
      </c>
      <c r="D10" s="3" t="inlineStr">
        <is>
          <t>대기 이탈 고객은 착석하지 않음</t>
        </is>
      </c>
      <c r="E10" s="3" t="inlineStr"/>
      <c r="F10" s="3" t="inlineStr">
        <is>
          <t>H</t>
        </is>
      </c>
    </row>
    <row r="11">
      <c r="A11" s="3" t="inlineStr">
        <is>
          <t>drv_open_hours</t>
        </is>
      </c>
      <c r="B11" s="3" t="inlineStr">
        <is>
          <t>drv_covers</t>
        </is>
      </c>
      <c r="C11" s="3" t="inlineStr">
        <is>
          <t>+</t>
        </is>
      </c>
      <c r="D11" s="3" t="inlineStr">
        <is>
          <t>영업시간이 길면 도착 가능 시간대 증가</t>
        </is>
      </c>
      <c r="E11" s="3" t="inlineStr">
        <is>
          <t>S12</t>
        </is>
      </c>
      <c r="F11" s="3" t="inlineStr">
        <is>
          <t>M</t>
        </is>
      </c>
    </row>
    <row r="12">
      <c r="A12" s="3" t="inlineStr">
        <is>
          <t>sto_occupancy</t>
        </is>
      </c>
      <c r="B12" s="3" t="inlineStr">
        <is>
          <t>drv_covers</t>
        </is>
      </c>
      <c r="C12" s="3" t="inlineStr">
        <is>
          <t>+</t>
        </is>
      </c>
      <c r="D12" s="3" t="inlineStr">
        <is>
          <t>착석 시 좌석 채움률 (정적 P&amp;L 항)</t>
        </is>
      </c>
      <c r="E12" s="3" t="inlineStr"/>
      <c r="F12" s="3" t="inlineStr">
        <is>
          <t>H</t>
        </is>
      </c>
    </row>
    <row r="13">
      <c r="A13" s="3" t="inlineStr">
        <is>
          <t>sto_table_turns</t>
        </is>
      </c>
      <c r="B13" s="3" t="inlineStr">
        <is>
          <t>drv_covers</t>
        </is>
      </c>
      <c r="C13" s="3" t="inlineStr">
        <is>
          <t>+</t>
        </is>
      </c>
      <c r="D13" s="3" t="inlineStr">
        <is>
          <t>하루 회전 수 (정적 P&amp;L 항)</t>
        </is>
      </c>
      <c r="E13" s="3" t="inlineStr"/>
      <c r="F13" s="3" t="inlineStr">
        <is>
          <t>H</t>
        </is>
      </c>
    </row>
    <row r="14">
      <c r="A14" s="3" t="inlineStr">
        <is>
          <t>drv_dwell_time</t>
        </is>
      </c>
      <c r="B14" s="3" t="inlineStr">
        <is>
          <t>sto_table_turns</t>
        </is>
      </c>
      <c r="C14" s="3" t="inlineStr">
        <is>
          <t>−</t>
        </is>
      </c>
      <c r="D14" s="3" t="inlineStr">
        <is>
          <t>체류가 길수록 테이블 회전 감소</t>
        </is>
      </c>
      <c r="E14" s="3" t="inlineStr"/>
      <c r="F14" s="3" t="inlineStr">
        <is>
          <t>M</t>
        </is>
      </c>
    </row>
    <row r="15">
      <c r="A15" s="3" t="inlineStr">
        <is>
          <t>drv_dwell_time</t>
        </is>
      </c>
      <c r="B15" s="3" t="inlineStr">
        <is>
          <t>drv_ticket</t>
        </is>
      </c>
      <c r="C15" s="3" t="inlineStr">
        <is>
          <t>+</t>
        </is>
      </c>
      <c r="D15" s="3" t="inlineStr">
        <is>
          <t>오래 머물수록 주류·추가 주문 증가</t>
        </is>
      </c>
      <c r="E15" s="3" t="inlineStr"/>
      <c r="F15" s="3" t="inlineStr">
        <is>
          <t>L</t>
        </is>
      </c>
    </row>
    <row r="16">
      <c r="A16" s="3" t="inlineStr">
        <is>
          <t>drv_food_cost</t>
        </is>
      </c>
      <c r="B16" s="3" t="inlineStr">
        <is>
          <t>drv_total_cost</t>
        </is>
      </c>
      <c r="C16" s="3" t="inlineStr">
        <is>
          <t>+</t>
        </is>
      </c>
      <c r="D16" s="3" t="inlineStr">
        <is>
          <t>비용 항목 합산</t>
        </is>
      </c>
      <c r="E16" s="3" t="inlineStr">
        <is>
          <t>S31</t>
        </is>
      </c>
      <c r="F16" s="3" t="inlineStr">
        <is>
          <t>H</t>
        </is>
      </c>
    </row>
    <row r="17">
      <c r="A17" s="3" t="inlineStr">
        <is>
          <t>drv_labor_cost</t>
        </is>
      </c>
      <c r="B17" s="3" t="inlineStr">
        <is>
          <t>drv_total_cost</t>
        </is>
      </c>
      <c r="C17" s="3" t="inlineStr">
        <is>
          <t>+</t>
        </is>
      </c>
      <c r="D17" s="3" t="inlineStr">
        <is>
          <t>비용 항목 합산</t>
        </is>
      </c>
      <c r="E17" s="3" t="inlineStr">
        <is>
          <t>S31</t>
        </is>
      </c>
      <c r="F17" s="3" t="inlineStr">
        <is>
          <t>H</t>
        </is>
      </c>
    </row>
    <row r="18">
      <c r="A18" s="3" t="inlineStr">
        <is>
          <t>drv_rent</t>
        </is>
      </c>
      <c r="B18" s="3" t="inlineStr">
        <is>
          <t>drv_total_cost</t>
        </is>
      </c>
      <c r="C18" s="3" t="inlineStr">
        <is>
          <t>+</t>
        </is>
      </c>
      <c r="D18" s="3" t="inlineStr">
        <is>
          <t>비용 항목 합산</t>
        </is>
      </c>
      <c r="E18" s="3" t="inlineStr">
        <is>
          <t>S31</t>
        </is>
      </c>
      <c r="F18" s="3" t="inlineStr">
        <is>
          <t>H</t>
        </is>
      </c>
    </row>
    <row r="19">
      <c r="A19" s="3" t="inlineStr">
        <is>
          <t>drv_mgmt_cost</t>
        </is>
      </c>
      <c r="B19" s="3" t="inlineStr">
        <is>
          <t>drv_total_cost</t>
        </is>
      </c>
      <c r="C19" s="3" t="inlineStr">
        <is>
          <t>+</t>
        </is>
      </c>
      <c r="D19" s="3" t="inlineStr">
        <is>
          <t>비용 항목 합산</t>
        </is>
      </c>
      <c r="E19" s="3" t="inlineStr">
        <is>
          <t>S31</t>
        </is>
      </c>
      <c r="F19" s="3" t="inlineStr">
        <is>
          <t>H</t>
        </is>
      </c>
    </row>
    <row r="20">
      <c r="A20" s="3" t="inlineStr">
        <is>
          <t>drv_fees</t>
        </is>
      </c>
      <c r="B20" s="3" t="inlineStr">
        <is>
          <t>drv_total_cost</t>
        </is>
      </c>
      <c r="C20" s="3" t="inlineStr">
        <is>
          <t>+</t>
        </is>
      </c>
      <c r="D20" s="3" t="inlineStr">
        <is>
          <t>비용 항목 합산</t>
        </is>
      </c>
      <c r="E20" s="3" t="inlineStr"/>
      <c r="F20" s="3" t="inlineStr">
        <is>
          <t>H</t>
        </is>
      </c>
    </row>
    <row r="21">
      <c r="A21" s="3" t="inlineStr">
        <is>
          <t>drv_revenue</t>
        </is>
      </c>
      <c r="B21" s="3" t="inlineStr">
        <is>
          <t>drv_fees</t>
        </is>
      </c>
      <c r="C21" s="3" t="inlineStr">
        <is>
          <t>+</t>
        </is>
      </c>
      <c r="D21" s="3" t="inlineStr">
        <is>
          <t>카드수수료는 매출에 비례</t>
        </is>
      </c>
      <c r="E21" s="3" t="inlineStr"/>
      <c r="F21" s="3" t="inlineStr">
        <is>
          <t>H</t>
        </is>
      </c>
    </row>
    <row r="22">
      <c r="A22" s="3" t="inlineStr">
        <is>
          <t>drv_covers</t>
        </is>
      </c>
      <c r="B22" s="3" t="inlineStr">
        <is>
          <t>drv_food_cost</t>
        </is>
      </c>
      <c r="C22" s="3" t="inlineStr">
        <is>
          <t>+</t>
        </is>
      </c>
      <c r="D22" s="3" t="inlineStr">
        <is>
          <t>식재료비 = 고객수 × 1인 원가</t>
        </is>
      </c>
      <c r="E22" s="3" t="inlineStr"/>
      <c r="F22" s="3" t="inlineStr">
        <is>
          <t>H</t>
        </is>
      </c>
    </row>
    <row r="23">
      <c r="A23" s="3" t="inlineStr">
        <is>
          <t>prd_meat_origin</t>
        </is>
      </c>
      <c r="B23" s="3" t="inlineStr">
        <is>
          <t>drv_ticket</t>
        </is>
      </c>
      <c r="C23" s="3" t="inlineStr">
        <is>
          <t>±</t>
        </is>
      </c>
      <c r="D23" s="3" t="inlineStr">
        <is>
          <t>국내산은 가격 프리미엄 가능 / 수입은 저가 포지션</t>
        </is>
      </c>
      <c r="E23" s="3" t="inlineStr"/>
      <c r="F23" s="3" t="inlineStr">
        <is>
          <t>L</t>
        </is>
      </c>
    </row>
    <row r="24">
      <c r="A24" s="3" t="inlineStr">
        <is>
          <t>prd_meat_origin</t>
        </is>
      </c>
      <c r="B24" s="3" t="inlineStr">
        <is>
          <t>cst_meat_cost_per_portion</t>
        </is>
      </c>
      <c r="C24" s="3" t="inlineStr">
        <is>
          <t>+</t>
        </is>
      </c>
      <c r="D24" s="3" t="inlineStr">
        <is>
          <t>국내산 원가가 더 높음 (가정)</t>
        </is>
      </c>
      <c r="E24" s="3" t="inlineStr"/>
      <c r="F24" s="3" t="inlineStr">
        <is>
          <t>L</t>
        </is>
      </c>
    </row>
    <row r="25">
      <c r="A25" s="3" t="inlineStr">
        <is>
          <t>prd_cut_style</t>
        </is>
      </c>
      <c r="B25" s="3" t="inlineStr">
        <is>
          <t>drv_ticket</t>
        </is>
      </c>
      <c r="C25" s="3" t="inlineStr">
        <is>
          <t>±</t>
        </is>
      </c>
      <c r="D25" s="3" t="inlineStr">
        <is>
          <t>숙성·통삼은 고가 / 대패·냉삼은 저가 포지션</t>
        </is>
      </c>
      <c r="E25" s="3" t="inlineStr"/>
      <c r="F25" s="3" t="inlineStr">
        <is>
          <t>L</t>
        </is>
      </c>
    </row>
    <row r="26">
      <c r="A26" s="3" t="inlineStr">
        <is>
          <t>prd_cut_style</t>
        </is>
      </c>
      <c r="B26" s="3" t="inlineStr">
        <is>
          <t>drv_arrival_rate</t>
        </is>
      </c>
      <c r="C26" s="3" t="inlineStr">
        <is>
          <t>±</t>
        </is>
      </c>
      <c r="D26" s="3" t="inlineStr">
        <is>
          <t>차별화된 형태는 방문 동기 (바이럴)</t>
        </is>
      </c>
      <c r="E26" s="3" t="inlineStr"/>
      <c r="F26" s="3" t="inlineStr">
        <is>
          <t>L</t>
        </is>
      </c>
    </row>
    <row r="27">
      <c r="A27" s="3" t="inlineStr">
        <is>
          <t>prd_chobeol</t>
        </is>
      </c>
      <c r="B27" s="3" t="inlineStr">
        <is>
          <t>drv_dwell_time</t>
        </is>
      </c>
      <c r="C27" s="3" t="inlineStr">
        <is>
          <t>−</t>
        </is>
      </c>
      <c r="D27" s="3" t="inlineStr">
        <is>
          <t>초벌이면 테이블 굽는 시간 단축</t>
        </is>
      </c>
      <c r="E27" s="3" t="inlineStr"/>
      <c r="F27" s="3" t="inlineStr">
        <is>
          <t>M</t>
        </is>
      </c>
    </row>
    <row r="28">
      <c r="A28" s="3" t="inlineStr">
        <is>
          <t>prd_chobeol</t>
        </is>
      </c>
      <c r="B28" s="3" t="inlineStr">
        <is>
          <t>drv_labor_cost</t>
        </is>
      </c>
      <c r="C28" s="3" t="inlineStr">
        <is>
          <t>+</t>
        </is>
      </c>
      <c r="D28" s="3" t="inlineStr">
        <is>
          <t>주방 초벌 작업 인력 필요</t>
        </is>
      </c>
      <c r="E28" s="3" t="inlineStr"/>
      <c r="F28" s="3" t="inlineStr">
        <is>
          <t>L</t>
        </is>
      </c>
    </row>
    <row r="29">
      <c r="A29" s="3" t="inlineStr">
        <is>
          <t>prd_signature_side</t>
        </is>
      </c>
      <c r="B29" s="3" t="inlineStr">
        <is>
          <t>drv_arrival_rate</t>
        </is>
      </c>
      <c r="C29" s="3" t="inlineStr">
        <is>
          <t>+</t>
        </is>
      </c>
      <c r="D29" s="3" t="inlineStr">
        <is>
          <t>미나리·고사리 등 시그니처는 차별화·바이럴</t>
        </is>
      </c>
      <c r="E29" s="3" t="inlineStr"/>
      <c r="F29" s="3" t="inlineStr">
        <is>
          <t>L</t>
        </is>
      </c>
    </row>
    <row r="30">
      <c r="A30" s="3" t="inlineStr">
        <is>
          <t>prd_signature_side</t>
        </is>
      </c>
      <c r="B30" s="3" t="inlineStr">
        <is>
          <t>drv_ticket</t>
        </is>
      </c>
      <c r="C30" s="3" t="inlineStr">
        <is>
          <t>+</t>
        </is>
      </c>
      <c r="D30" s="3" t="inlineStr">
        <is>
          <t>곁들임 추가 주문</t>
        </is>
      </c>
      <c r="E30" s="3" t="inlineStr"/>
      <c r="F30" s="3" t="inlineStr">
        <is>
          <t>L</t>
        </is>
      </c>
    </row>
    <row r="31">
      <c r="A31" s="3" t="inlineStr">
        <is>
          <t>prd_food_quality</t>
        </is>
      </c>
      <c r="B31" s="3" t="inlineStr">
        <is>
          <t>mkt_review_rating</t>
        </is>
      </c>
      <c r="C31" s="3" t="inlineStr">
        <is>
          <t>+</t>
        </is>
      </c>
      <c r="D31" s="3" t="inlineStr">
        <is>
          <t>음식 상태가 좋으면 평점 상승</t>
        </is>
      </c>
      <c r="E31" s="3" t="inlineStr">
        <is>
          <t>S03</t>
        </is>
      </c>
      <c r="F31" s="3" t="inlineStr">
        <is>
          <t>M</t>
        </is>
      </c>
    </row>
    <row r="32">
      <c r="A32" s="3" t="inlineStr">
        <is>
          <t>prd_meat_price</t>
        </is>
      </c>
      <c r="B32" s="3" t="inlineStr">
        <is>
          <t>drv_ticket</t>
        </is>
      </c>
      <c r="C32" s="3" t="inlineStr">
        <is>
          <t>+</t>
        </is>
      </c>
      <c r="D32" s="3" t="inlineStr">
        <is>
          <t>판매가 인상 = 객단가 상승</t>
        </is>
      </c>
      <c r="E32" s="3" t="inlineStr">
        <is>
          <t>S23</t>
        </is>
      </c>
      <c r="F32" s="3" t="inlineStr">
        <is>
          <t>H</t>
        </is>
      </c>
    </row>
    <row r="33">
      <c r="A33" s="3" t="inlineStr">
        <is>
          <t>prd_meat_price</t>
        </is>
      </c>
      <c r="B33" s="3" t="inlineStr">
        <is>
          <t>drv_arrival_rate</t>
        </is>
      </c>
      <c r="C33" s="3" t="inlineStr">
        <is>
          <t>−</t>
        </is>
      </c>
      <c r="D33" s="3" t="inlineStr">
        <is>
          <t>가격 인상 시 가격탄력성만큼 도착 감소</t>
        </is>
      </c>
      <c r="E33" s="3" t="inlineStr"/>
      <c r="F33" s="3" t="inlineStr">
        <is>
          <t>M</t>
        </is>
      </c>
    </row>
    <row r="34">
      <c r="A34" s="3" t="inlineStr">
        <is>
          <t>mkt_price_elasticity</t>
        </is>
      </c>
      <c r="B34" s="3" t="inlineStr">
        <is>
          <t>drv_arrival_rate</t>
        </is>
      </c>
      <c r="C34" s="3" t="inlineStr">
        <is>
          <t>±</t>
        </is>
      </c>
      <c r="D34" s="3" t="inlineStr">
        <is>
          <t>가격 변화가 도착률에 미치는 크기를 조절</t>
        </is>
      </c>
      <c r="E34" s="3" t="inlineStr"/>
      <c r="F34" s="3" t="inlineStr">
        <is>
          <t>L</t>
        </is>
      </c>
    </row>
    <row r="35">
      <c r="A35" s="3" t="inlineStr">
        <is>
          <t>prd_portion_grams</t>
        </is>
      </c>
      <c r="B35" s="3" t="inlineStr">
        <is>
          <t>cst_meat_cost_per_portion</t>
        </is>
      </c>
      <c r="C35" s="3" t="inlineStr">
        <is>
          <t>+</t>
        </is>
      </c>
      <c r="D35" s="3" t="inlineStr">
        <is>
          <t>1인분 중량이 크면 원가 증가</t>
        </is>
      </c>
      <c r="E35" s="3" t="inlineStr"/>
      <c r="F35" s="3" t="inlineStr">
        <is>
          <t>H</t>
        </is>
      </c>
    </row>
    <row r="36">
      <c r="A36" s="3" t="inlineStr">
        <is>
          <t>prd_portion_grams</t>
        </is>
      </c>
      <c r="B36" s="3" t="inlineStr">
        <is>
          <t>cst_order_volume</t>
        </is>
      </c>
      <c r="C36" s="3" t="inlineStr">
        <is>
          <t>+</t>
        </is>
      </c>
      <c r="D36" s="3" t="inlineStr">
        <is>
          <t>발주량 = 고객 × 인분 × 중량</t>
        </is>
      </c>
      <c r="E36" s="3" t="inlineStr"/>
      <c r="F36" s="3" t="inlineStr">
        <is>
          <t>H</t>
        </is>
      </c>
    </row>
    <row r="37">
      <c r="A37" s="3" t="inlineStr">
        <is>
          <t>prd_portions_per_cover</t>
        </is>
      </c>
      <c r="B37" s="3" t="inlineStr">
        <is>
          <t>drv_ticket</t>
        </is>
      </c>
      <c r="C37" s="3" t="inlineStr">
        <is>
          <t>+</t>
        </is>
      </c>
      <c r="D37" s="3" t="inlineStr">
        <is>
          <t>추가 주문이 많을수록 객단가 상승</t>
        </is>
      </c>
      <c r="E37" s="3" t="inlineStr">
        <is>
          <t>S28</t>
        </is>
      </c>
      <c r="F37" s="3" t="inlineStr">
        <is>
          <t>H</t>
        </is>
      </c>
    </row>
    <row r="38">
      <c r="A38" s="3" t="inlineStr">
        <is>
          <t>prd_portions_per_cover</t>
        </is>
      </c>
      <c r="B38" s="3" t="inlineStr">
        <is>
          <t>drv_food_cost</t>
        </is>
      </c>
      <c r="C38" s="3" t="inlineStr">
        <is>
          <t>+</t>
        </is>
      </c>
      <c r="D38" s="3" t="inlineStr">
        <is>
          <t>인분 수 × 1인분 원가</t>
        </is>
      </c>
      <c r="E38" s="3" t="inlineStr"/>
      <c r="F38" s="3" t="inlineStr">
        <is>
          <t>H</t>
        </is>
      </c>
    </row>
    <row r="39">
      <c r="A39" s="3" t="inlineStr">
        <is>
          <t>prd_portions_per_cover</t>
        </is>
      </c>
      <c r="B39" s="3" t="inlineStr">
        <is>
          <t>cst_order_volume</t>
        </is>
      </c>
      <c r="C39" s="3" t="inlineStr">
        <is>
          <t>+</t>
        </is>
      </c>
      <c r="D39" s="3" t="inlineStr">
        <is>
          <t>발주량 = 고객 × 인분 × 중량</t>
        </is>
      </c>
      <c r="E39" s="3" t="inlineStr"/>
      <c r="F39" s="3" t="inlineStr">
        <is>
          <t>H</t>
        </is>
      </c>
    </row>
    <row r="40">
      <c r="A40" s="3" t="inlineStr">
        <is>
          <t>prd_alcohol_price</t>
        </is>
      </c>
      <c r="B40" s="3" t="inlineStr">
        <is>
          <t>drv_ticket</t>
        </is>
      </c>
      <c r="C40" s="3" t="inlineStr">
        <is>
          <t>+</t>
        </is>
      </c>
      <c r="D40" s="3" t="inlineStr">
        <is>
          <t>소주 가격 인상 = 객단가 상승</t>
        </is>
      </c>
      <c r="E40" s="3" t="inlineStr">
        <is>
          <t>S25</t>
        </is>
      </c>
      <c r="F40" s="3" t="inlineStr">
        <is>
          <t>H</t>
        </is>
      </c>
    </row>
    <row r="41">
      <c r="A41" s="3" t="inlineStr">
        <is>
          <t>prd_alcohol_price</t>
        </is>
      </c>
      <c r="B41" s="3" t="inlineStr">
        <is>
          <t>prd_alcohol_per_cover</t>
        </is>
      </c>
      <c r="C41" s="3" t="inlineStr">
        <is>
          <t>−</t>
        </is>
      </c>
      <c r="D41" s="3" t="inlineStr">
        <is>
          <t>소주 가격이 오르면 1인당 병수 감소</t>
        </is>
      </c>
      <c r="E41" s="3" t="inlineStr"/>
      <c r="F41" s="3" t="inlineStr">
        <is>
          <t>L</t>
        </is>
      </c>
    </row>
    <row r="42">
      <c r="A42" s="3" t="inlineStr">
        <is>
          <t>prd_alcohol_per_cover</t>
        </is>
      </c>
      <c r="B42" s="3" t="inlineStr">
        <is>
          <t>drv_ticket</t>
        </is>
      </c>
      <c r="C42" s="3" t="inlineStr">
        <is>
          <t>+</t>
        </is>
      </c>
      <c r="D42" s="3" t="inlineStr">
        <is>
          <t>주류 병수 × 주류 판매가</t>
        </is>
      </c>
      <c r="E42" s="3" t="inlineStr">
        <is>
          <t>S30</t>
        </is>
      </c>
      <c r="F42" s="3" t="inlineStr">
        <is>
          <t>H</t>
        </is>
      </c>
    </row>
    <row r="43">
      <c r="A43" s="3" t="inlineStr">
        <is>
          <t>prd_alcohol_per_cover</t>
        </is>
      </c>
      <c r="B43" s="3" t="inlineStr">
        <is>
          <t>drv_food_cost</t>
        </is>
      </c>
      <c r="C43" s="3" t="inlineStr">
        <is>
          <t>+</t>
        </is>
      </c>
      <c r="D43" s="3" t="inlineStr">
        <is>
          <t>주류 병수 × 병당 원가</t>
        </is>
      </c>
      <c r="E43" s="3" t="inlineStr">
        <is>
          <t>S27</t>
        </is>
      </c>
      <c r="F43" s="3" t="inlineStr">
        <is>
          <t>H</t>
        </is>
      </c>
    </row>
    <row r="44">
      <c r="A44" s="3" t="inlineStr">
        <is>
          <t>prd_alcohol_per_cover</t>
        </is>
      </c>
      <c r="B44" s="3" t="inlineStr">
        <is>
          <t>drv_dwell_time</t>
        </is>
      </c>
      <c r="C44" s="3" t="inlineStr">
        <is>
          <t>+</t>
        </is>
      </c>
      <c r="D44" s="3" t="inlineStr">
        <is>
          <t>음주량이 많을수록 오래 머묾</t>
        </is>
      </c>
      <c r="E44" s="3" t="inlineStr"/>
      <c r="F44" s="3" t="inlineStr">
        <is>
          <t>L</t>
        </is>
      </c>
    </row>
    <row r="45">
      <c r="A45" s="3" t="inlineStr">
        <is>
          <t>prd_alcohol_per_cover</t>
        </is>
      </c>
      <c r="B45" s="3" t="inlineStr">
        <is>
          <t>cst_alcohol_meat_ratio</t>
        </is>
      </c>
      <c r="C45" s="3" t="inlineStr">
        <is>
          <t>+</t>
        </is>
      </c>
      <c r="D45" s="3" t="inlineStr">
        <is>
          <t>주류 매출 비중 상승</t>
        </is>
      </c>
      <c r="E45" s="3" t="inlineStr"/>
      <c r="F45" s="3" t="inlineStr">
        <is>
          <t>H</t>
        </is>
      </c>
    </row>
    <row r="46">
      <c r="A46" s="3" t="inlineStr">
        <is>
          <t>prd_meat_price</t>
        </is>
      </c>
      <c r="B46" s="3" t="inlineStr">
        <is>
          <t>cst_alcohol_meat_ratio</t>
        </is>
      </c>
      <c r="C46" s="3" t="inlineStr">
        <is>
          <t>−</t>
        </is>
      </c>
      <c r="D46" s="3" t="inlineStr">
        <is>
          <t>고기 매출이 커지면 비율 하락</t>
        </is>
      </c>
      <c r="E46" s="3" t="inlineStr"/>
      <c r="F46" s="3" t="inlineStr">
        <is>
          <t>H</t>
        </is>
      </c>
    </row>
    <row r="47">
      <c r="A47" s="3" t="inlineStr">
        <is>
          <t>cst_alcohol_meat_ratio</t>
        </is>
      </c>
      <c r="B47" s="3" t="inlineStr">
        <is>
          <t>drv_operating_profit</t>
        </is>
      </c>
      <c r="C47" s="3" t="inlineStr">
        <is>
          <t>+</t>
        </is>
      </c>
      <c r="D47" s="3" t="inlineStr">
        <is>
          <t>주류는 마진 73% 수준의 고마진 품목</t>
        </is>
      </c>
      <c r="E47" s="3" t="inlineStr">
        <is>
          <t>S27</t>
        </is>
      </c>
      <c r="F47" s="3" t="inlineStr">
        <is>
          <t>M</t>
        </is>
      </c>
    </row>
    <row r="48">
      <c r="A48" s="3" t="inlineStr">
        <is>
          <t>prd_side_spend_per_cover</t>
        </is>
      </c>
      <c r="B48" s="3" t="inlineStr">
        <is>
          <t>drv_ticket</t>
        </is>
      </c>
      <c r="C48" s="3" t="inlineStr">
        <is>
          <t>+</t>
        </is>
      </c>
      <c r="D48" s="3" t="inlineStr">
        <is>
          <t>식사·사이드 주문 = 객단가 상승</t>
        </is>
      </c>
      <c r="E48" s="3" t="inlineStr">
        <is>
          <t>S30</t>
        </is>
      </c>
      <c r="F48" s="3" t="inlineStr">
        <is>
          <t>H</t>
        </is>
      </c>
    </row>
    <row r="49">
      <c r="A49" s="3" t="inlineStr">
        <is>
          <t>prd_menu_count</t>
        </is>
      </c>
      <c r="B49" s="3" t="inlineStr">
        <is>
          <t>drv_food_cost</t>
        </is>
      </c>
      <c r="C49" s="3" t="inlineStr">
        <is>
          <t>+</t>
        </is>
      </c>
      <c r="D49" s="3" t="inlineStr">
        <is>
          <t>메뉴가 많으면 재고·폐기 증가</t>
        </is>
      </c>
      <c r="E49" s="3" t="inlineStr"/>
      <c r="F49" s="3" t="inlineStr">
        <is>
          <t>L</t>
        </is>
      </c>
    </row>
    <row r="50">
      <c r="A50" s="3" t="inlineStr">
        <is>
          <t>prd_menu_count</t>
        </is>
      </c>
      <c r="B50" s="3" t="inlineStr">
        <is>
          <t>drv_arrival_rate</t>
        </is>
      </c>
      <c r="C50" s="3" t="inlineStr">
        <is>
          <t>±</t>
        </is>
      </c>
      <c r="D50" s="3" t="inlineStr">
        <is>
          <t>선택지 증가 vs 전문점 이미지 희석</t>
        </is>
      </c>
      <c r="E50" s="3" t="inlineStr"/>
      <c r="F50" s="3" t="inlineStr">
        <is>
          <t>L</t>
        </is>
      </c>
    </row>
    <row r="51">
      <c r="A51" s="3" t="inlineStr">
        <is>
          <t>svc_staff_grilling</t>
        </is>
      </c>
      <c r="B51" s="3" t="inlineStr">
        <is>
          <t>drv_dwell_time</t>
        </is>
      </c>
      <c r="C51" s="3" t="inlineStr">
        <is>
          <t>−</t>
        </is>
      </c>
      <c r="D51" s="3" t="inlineStr">
        <is>
          <t>직원이 구우면 굽는 속도·회전 개선</t>
        </is>
      </c>
      <c r="E51" s="3" t="inlineStr"/>
      <c r="F51" s="3" t="inlineStr">
        <is>
          <t>L</t>
        </is>
      </c>
    </row>
    <row r="52">
      <c r="A52" s="3" t="inlineStr">
        <is>
          <t>svc_staff_grilling</t>
        </is>
      </c>
      <c r="B52" s="3" t="inlineStr">
        <is>
          <t>drv_labor_cost</t>
        </is>
      </c>
      <c r="C52" s="3" t="inlineStr">
        <is>
          <t>+</t>
        </is>
      </c>
      <c r="D52" s="3" t="inlineStr">
        <is>
          <t>굽기 인력 추가 필요</t>
        </is>
      </c>
      <c r="E52" s="3" t="inlineStr"/>
      <c r="F52" s="3" t="inlineStr">
        <is>
          <t>M</t>
        </is>
      </c>
    </row>
    <row r="53">
      <c r="A53" s="3" t="inlineStr">
        <is>
          <t>svc_staff_grilling</t>
        </is>
      </c>
      <c r="B53" s="3" t="inlineStr">
        <is>
          <t>mkt_review_rating</t>
        </is>
      </c>
      <c r="C53" s="3" t="inlineStr">
        <is>
          <t>+</t>
        </is>
      </c>
      <c r="D53" s="3" t="inlineStr">
        <is>
          <t>서비스 만족도 상승</t>
        </is>
      </c>
      <c r="E53" s="3" t="inlineStr"/>
      <c r="F53" s="3" t="inlineStr">
        <is>
          <t>L</t>
        </is>
      </c>
    </row>
    <row r="54">
      <c r="A54" s="3" t="inlineStr">
        <is>
          <t>svc_banchan_count</t>
        </is>
      </c>
      <c r="B54" s="3" t="inlineStr">
        <is>
          <t>drv_food_cost</t>
        </is>
      </c>
      <c r="C54" s="3" t="inlineStr">
        <is>
          <t>+</t>
        </is>
      </c>
      <c r="D54" s="3" t="inlineStr">
        <is>
          <t>반찬 가짓수·리필 = 원가 증가</t>
        </is>
      </c>
      <c r="E54" s="3" t="inlineStr"/>
      <c r="F54" s="3" t="inlineStr">
        <is>
          <t>M</t>
        </is>
      </c>
    </row>
    <row r="55">
      <c r="A55" s="3" t="inlineStr">
        <is>
          <t>svc_banchan_count</t>
        </is>
      </c>
      <c r="B55" s="3" t="inlineStr">
        <is>
          <t>mkt_review_rating</t>
        </is>
      </c>
      <c r="C55" s="3" t="inlineStr">
        <is>
          <t>+</t>
        </is>
      </c>
      <c r="D55" s="3" t="inlineStr">
        <is>
          <t>반찬 만족도</t>
        </is>
      </c>
      <c r="E55" s="3" t="inlineStr"/>
      <c r="F55" s="3" t="inlineStr">
        <is>
          <t>L</t>
        </is>
      </c>
    </row>
    <row r="56">
      <c r="A56" s="3" t="inlineStr">
        <is>
          <t>cst_banchan_cost_per_cover</t>
        </is>
      </c>
      <c r="B56" s="3" t="inlineStr">
        <is>
          <t>drv_food_cost</t>
        </is>
      </c>
      <c r="C56" s="3" t="inlineStr">
        <is>
          <t>+</t>
        </is>
      </c>
      <c r="D56" s="3" t="inlineStr">
        <is>
          <t>1인 반찬 원가 × 고객수</t>
        </is>
      </c>
      <c r="E56" s="3" t="inlineStr"/>
      <c r="F56" s="3" t="inlineStr">
        <is>
          <t>H</t>
        </is>
      </c>
    </row>
    <row r="57">
      <c r="A57" s="3" t="inlineStr">
        <is>
          <t>svc_qr_kiosk</t>
        </is>
      </c>
      <c r="B57" s="3" t="inlineStr">
        <is>
          <t>drv_labor_cost</t>
        </is>
      </c>
      <c r="C57" s="3" t="inlineStr">
        <is>
          <t>−</t>
        </is>
      </c>
      <c r="D57" s="3" t="inlineStr">
        <is>
          <t>주문 응대 인력 절감 (범위 밖 / 미도입 기준 N)</t>
        </is>
      </c>
      <c r="E57" s="3" t="inlineStr">
        <is>
          <t>D0930</t>
        </is>
      </c>
      <c r="F57" s="3" t="inlineStr">
        <is>
          <t>L</t>
        </is>
      </c>
    </row>
    <row r="58">
      <c r="A58" s="3" t="inlineStr">
        <is>
          <t>svc_corkage</t>
        </is>
      </c>
      <c r="B58" s="3" t="inlineStr">
        <is>
          <t>drv_arrival_rate</t>
        </is>
      </c>
      <c r="C58" s="3" t="inlineStr">
        <is>
          <t>+</t>
        </is>
      </c>
      <c r="D58" s="3" t="inlineStr">
        <is>
          <t>콜키지 허용은 방문 동기</t>
        </is>
      </c>
      <c r="E58" s="3" t="inlineStr"/>
      <c r="F58" s="3" t="inlineStr">
        <is>
          <t>L</t>
        </is>
      </c>
    </row>
    <row r="59">
      <c r="A59" s="3" t="inlineStr">
        <is>
          <t>svc_corkage</t>
        </is>
      </c>
      <c r="B59" s="3" t="inlineStr">
        <is>
          <t>drv_ticket</t>
        </is>
      </c>
      <c r="C59" s="3" t="inlineStr">
        <is>
          <t>−</t>
        </is>
      </c>
      <c r="D59" s="3" t="inlineStr">
        <is>
          <t>주류 매출 대체</t>
        </is>
      </c>
      <c r="E59" s="3" t="inlineStr"/>
      <c r="F59" s="3" t="inlineStr">
        <is>
          <t>L</t>
        </is>
      </c>
    </row>
    <row r="60">
      <c r="A60" s="3" t="inlineStr">
        <is>
          <t>svc_cleanliness</t>
        </is>
      </c>
      <c r="B60" s="3" t="inlineStr">
        <is>
          <t>mkt_review_rating</t>
        </is>
      </c>
      <c r="C60" s="3" t="inlineStr">
        <is>
          <t>+</t>
        </is>
      </c>
      <c r="D60" s="3" t="inlineStr">
        <is>
          <t>청결은 평점에 반영</t>
        </is>
      </c>
      <c r="E60" s="3" t="inlineStr"/>
      <c r="F60" s="3" t="inlineStr">
        <is>
          <t>L</t>
        </is>
      </c>
    </row>
    <row r="61">
      <c r="A61" s="3" t="inlineStr">
        <is>
          <t>mkt_review_count</t>
        </is>
      </c>
      <c r="B61" s="3" t="inlineStr">
        <is>
          <t>drv_arrival_rate</t>
        </is>
      </c>
      <c r="C61" s="3" t="inlineStr">
        <is>
          <t>+</t>
        </is>
      </c>
      <c r="D61" s="3" t="inlineStr">
        <is>
          <t>리뷰가 많을수록 발견·방문 증가</t>
        </is>
      </c>
      <c r="E61" s="3" t="inlineStr">
        <is>
          <t>S03</t>
        </is>
      </c>
      <c r="F61" s="3" t="inlineStr">
        <is>
          <t>M</t>
        </is>
      </c>
    </row>
    <row r="62">
      <c r="A62" s="3" t="inlineStr">
        <is>
          <t>mkt_review_rating</t>
        </is>
      </c>
      <c r="B62" s="3" t="inlineStr">
        <is>
          <t>drv_arrival_rate</t>
        </is>
      </c>
      <c r="C62" s="3" t="inlineStr">
        <is>
          <t>+</t>
        </is>
      </c>
      <c r="D62" s="3" t="inlineStr">
        <is>
          <t>평점 1점 상승 = 독립점 매출 +5~9%</t>
        </is>
      </c>
      <c r="E62" s="3" t="inlineStr">
        <is>
          <t>S03</t>
        </is>
      </c>
      <c r="F62" s="3" t="inlineStr">
        <is>
          <t>M</t>
        </is>
      </c>
    </row>
    <row r="63">
      <c r="A63" s="3" t="inlineStr">
        <is>
          <t>mkt_review_event</t>
        </is>
      </c>
      <c r="B63" s="3" t="inlineStr">
        <is>
          <t>mkt_review_count</t>
        </is>
      </c>
      <c r="C63" s="3" t="inlineStr">
        <is>
          <t>+</t>
        </is>
      </c>
      <c r="D63" s="3" t="inlineStr">
        <is>
          <t>리뷰 이벤트는 리뷰 작성 유도</t>
        </is>
      </c>
      <c r="E63" s="3" t="inlineStr"/>
      <c r="F63" s="3" t="inlineStr">
        <is>
          <t>M</t>
        </is>
      </c>
    </row>
    <row r="64">
      <c r="A64" s="3" t="inlineStr">
        <is>
          <t>mkt_review_event</t>
        </is>
      </c>
      <c r="B64" s="3" t="inlineStr">
        <is>
          <t>drv_food_cost</t>
        </is>
      </c>
      <c r="C64" s="3" t="inlineStr">
        <is>
          <t>+</t>
        </is>
      </c>
      <c r="D64" s="3" t="inlineStr">
        <is>
          <t>음료·서비스 제공 원가</t>
        </is>
      </c>
      <c r="E64" s="3" t="inlineStr"/>
      <c r="F64" s="3" t="inlineStr">
        <is>
          <t>L</t>
        </is>
      </c>
    </row>
    <row r="65">
      <c r="A65" s="3" t="inlineStr">
        <is>
          <t>mkt_sponsorship</t>
        </is>
      </c>
      <c r="B65" s="3" t="inlineStr">
        <is>
          <t>drv_arrival_rate</t>
        </is>
      </c>
      <c r="C65" s="3" t="inlineStr">
        <is>
          <t>+</t>
        </is>
      </c>
      <c r="D65" s="3" t="inlineStr">
        <is>
          <t>협찬·광고 노출로 방문 증가</t>
        </is>
      </c>
      <c r="E65" s="3" t="inlineStr"/>
      <c r="F65" s="3" t="inlineStr">
        <is>
          <t>L</t>
        </is>
      </c>
    </row>
    <row r="66">
      <c r="A66" s="3" t="inlineStr">
        <is>
          <t>mkt_sponsorship</t>
        </is>
      </c>
      <c r="B66" s="3" t="inlineStr">
        <is>
          <t>drv_mgmt_cost</t>
        </is>
      </c>
      <c r="C66" s="3" t="inlineStr">
        <is>
          <t>+</t>
        </is>
      </c>
      <c r="D66" s="3" t="inlineStr">
        <is>
          <t>마케팅비는 기타경비에 포함</t>
        </is>
      </c>
      <c r="E66" s="3" t="inlineStr"/>
      <c r="F66" s="3" t="inlineStr">
        <is>
          <t>M</t>
        </is>
      </c>
    </row>
    <row r="67">
      <c r="A67" s="3" t="inlineStr">
        <is>
          <t>mkt_celebrity_visits</t>
        </is>
      </c>
      <c r="B67" s="3" t="inlineStr">
        <is>
          <t>drv_arrival_rate</t>
        </is>
      </c>
      <c r="C67" s="3" t="inlineStr">
        <is>
          <t>+</t>
        </is>
      </c>
      <c r="D67" s="3" t="inlineStr">
        <is>
          <t>연예인 방문 노출로 일시 수요 급증</t>
        </is>
      </c>
      <c r="E67" s="3" t="inlineStr"/>
      <c r="F67" s="3" t="inlineStr">
        <is>
          <t>L</t>
        </is>
      </c>
    </row>
    <row r="68">
      <c r="A68" s="3" t="inlineStr">
        <is>
          <t>mkt_waitlist_app</t>
        </is>
      </c>
      <c r="B68" s="3" t="inlineStr">
        <is>
          <t>drv_balk_rate</t>
        </is>
      </c>
      <c r="C68" s="3" t="inlineStr">
        <is>
          <t>−</t>
        </is>
      </c>
      <c r="D68" s="3" t="inlineStr">
        <is>
          <t>원격 대기로 현장 이탈 감소 (미도입 기준 N)</t>
        </is>
      </c>
      <c r="E68" s="3" t="inlineStr">
        <is>
          <t>D0930</t>
        </is>
      </c>
      <c r="F68" s="3" t="inlineStr">
        <is>
          <t>L</t>
        </is>
      </c>
    </row>
    <row r="69">
      <c r="A69" s="3" t="inlineStr">
        <is>
          <t>mkt_waitlist_app</t>
        </is>
      </c>
      <c r="B69" s="3" t="inlineStr">
        <is>
          <t>drv_fees</t>
        </is>
      </c>
      <c r="C69" s="3" t="inlineStr">
        <is>
          <t>+</t>
        </is>
      </c>
      <c r="D69" s="3" t="inlineStr">
        <is>
          <t>앱 이용 수수료</t>
        </is>
      </c>
      <c r="E69" s="3" t="inlineStr"/>
      <c r="F69" s="3" t="inlineStr">
        <is>
          <t>L</t>
        </is>
      </c>
    </row>
    <row r="70">
      <c r="A70" s="3" t="inlineStr">
        <is>
          <t>mkt_delivery</t>
        </is>
      </c>
      <c r="B70" s="3" t="inlineStr">
        <is>
          <t>drv_revenue</t>
        </is>
      </c>
      <c r="C70" s="3" t="inlineStr">
        <is>
          <t>+</t>
        </is>
      </c>
      <c r="D70" s="3" t="inlineStr">
        <is>
          <t>배달 매출 추가 (미도입 기준 N)</t>
        </is>
      </c>
      <c r="E70" s="3" t="inlineStr">
        <is>
          <t>D0930</t>
        </is>
      </c>
      <c r="F70" s="3" t="inlineStr">
        <is>
          <t>L</t>
        </is>
      </c>
    </row>
    <row r="71">
      <c r="A71" s="3" t="inlineStr">
        <is>
          <t>mkt_delivery</t>
        </is>
      </c>
      <c r="B71" s="3" t="inlineStr">
        <is>
          <t>drv_fees</t>
        </is>
      </c>
      <c r="C71" s="3" t="inlineStr">
        <is>
          <t>+</t>
        </is>
      </c>
      <c r="D71" s="3" t="inlineStr">
        <is>
          <t>배달 플랫폼 수수료</t>
        </is>
      </c>
      <c r="E71" s="3" t="inlineStr"/>
      <c r="F71" s="3" t="inlineStr">
        <is>
          <t>M</t>
        </is>
      </c>
    </row>
    <row r="72">
      <c r="A72" s="3" t="inlineStr">
        <is>
          <t>mkt_party_size</t>
        </is>
      </c>
      <c r="B72" s="3" t="inlineStr">
        <is>
          <t>drv_covers</t>
        </is>
      </c>
      <c r="C72" s="3" t="inlineStr">
        <is>
          <t>+</t>
        </is>
      </c>
      <c r="D72" s="3" t="inlineStr">
        <is>
          <t>한 팀당 착석 인원</t>
        </is>
      </c>
      <c r="E72" s="3" t="inlineStr"/>
      <c r="F72" s="3" t="inlineStr">
        <is>
          <t>H</t>
        </is>
      </c>
    </row>
    <row r="73">
      <c r="A73" s="3" t="inlineStr">
        <is>
          <t>mkt_party_size</t>
        </is>
      </c>
      <c r="B73" s="3" t="inlineStr">
        <is>
          <t>sto_occupancy</t>
        </is>
      </c>
      <c r="C73" s="3" t="inlineStr">
        <is>
          <t>+</t>
        </is>
      </c>
      <c r="D73" s="3" t="inlineStr">
        <is>
          <t>일행이 많을수록 4인석 채움률 상승</t>
        </is>
      </c>
      <c r="E73" s="3" t="inlineStr"/>
      <c r="F73" s="3" t="inlineStr">
        <is>
          <t>H</t>
        </is>
      </c>
    </row>
    <row r="74">
      <c r="A74" s="3" t="inlineStr">
        <is>
          <t>mkt_patience</t>
        </is>
      </c>
      <c r="B74" s="3" t="inlineStr">
        <is>
          <t>drv_balk_rate</t>
        </is>
      </c>
      <c r="C74" s="3" t="inlineStr">
        <is>
          <t>−</t>
        </is>
      </c>
      <c r="D74" s="3" t="inlineStr">
        <is>
          <t>인내시간이 길수록 대기 이탈 감소</t>
        </is>
      </c>
      <c r="E74" s="3" t="inlineStr"/>
      <c r="F74" s="3" t="inlineStr">
        <is>
          <t>M</t>
        </is>
      </c>
    </row>
    <row r="75">
      <c r="A75" s="3" t="inlineStr">
        <is>
          <t>reg_age_mix</t>
        </is>
      </c>
      <c r="B75" s="3" t="inlineStr">
        <is>
          <t>drv_arrival_rate</t>
        </is>
      </c>
      <c r="C75" s="3" t="inlineStr">
        <is>
          <t>±</t>
        </is>
      </c>
      <c r="D75" s="3" t="inlineStr">
        <is>
          <t>20대 비중은 방학 수요 변동·늦은 시간대 수요를 키움</t>
        </is>
      </c>
      <c r="E75" s="3" t="inlineStr">
        <is>
          <t>S12</t>
        </is>
      </c>
      <c r="F75" s="3" t="inlineStr">
        <is>
          <t>M</t>
        </is>
      </c>
    </row>
    <row r="76">
      <c r="A76" s="3" t="inlineStr">
        <is>
          <t>reg_age_mix</t>
        </is>
      </c>
      <c r="B76" s="3" t="inlineStr">
        <is>
          <t>prd_alcohol_per_cover</t>
        </is>
      </c>
      <c r="C76" s="3" t="inlineStr">
        <is>
          <t>+</t>
        </is>
      </c>
      <c r="D76" s="3" t="inlineStr">
        <is>
          <t>20대 비중이 높으면 음주량 증가 (가정)</t>
        </is>
      </c>
      <c r="E76" s="3" t="inlineStr"/>
      <c r="F76" s="3" t="inlineStr">
        <is>
          <t>L</t>
        </is>
      </c>
    </row>
    <row r="77">
      <c r="A77" s="3" t="inlineStr">
        <is>
          <t>reg_evening_share</t>
        </is>
      </c>
      <c r="B77" s="3" t="inlineStr">
        <is>
          <t>drv_arrival_rate</t>
        </is>
      </c>
      <c r="C77" s="3" t="inlineStr">
        <is>
          <t>+</t>
        </is>
      </c>
      <c r="D77" s="3" t="inlineStr">
        <is>
          <t>시간대별 도착 곡선 형태 (17–24시 63%)</t>
        </is>
      </c>
      <c r="E77" s="3" t="inlineStr">
        <is>
          <t>S12</t>
        </is>
      </c>
      <c r="F77" s="3" t="inlineStr">
        <is>
          <t>H</t>
        </is>
      </c>
    </row>
    <row r="78">
      <c r="A78" s="3" t="inlineStr">
        <is>
          <t>reg_foot_traffic</t>
        </is>
      </c>
      <c r="B78" s="3" t="inlineStr">
        <is>
          <t>drv_arrival_rate</t>
        </is>
      </c>
      <c r="C78" s="3" t="inlineStr">
        <is>
          <t>+</t>
        </is>
      </c>
      <c r="D78" s="3" t="inlineStr">
        <is>
          <t>유동인구가 많을수록 방문 증가</t>
        </is>
      </c>
      <c r="E78" s="3" t="inlineStr">
        <is>
          <t>S14</t>
        </is>
      </c>
      <c r="F78" s="3" t="inlineStr">
        <is>
          <t>M</t>
        </is>
      </c>
    </row>
    <row r="79">
      <c r="A79" s="3" t="inlineStr">
        <is>
          <t>reg_trade_area_facilities</t>
        </is>
      </c>
      <c r="B79" s="3" t="inlineStr">
        <is>
          <t>drv_arrival_rate</t>
        </is>
      </c>
      <c r="C79" s="3" t="inlineStr">
        <is>
          <t>+</t>
        </is>
      </c>
      <c r="D79" s="3" t="inlineStr">
        <is>
          <t>대학·지하철역·공연장이 수요 유발</t>
        </is>
      </c>
      <c r="E79" s="3" t="inlineStr">
        <is>
          <t>S17</t>
        </is>
      </c>
      <c r="F79" s="3" t="inlineStr">
        <is>
          <t>M</t>
        </is>
      </c>
    </row>
    <row r="80">
      <c r="A80" s="3" t="inlineStr">
        <is>
          <t>reg_trade_area_facilities</t>
        </is>
      </c>
      <c r="B80" s="3" t="inlineStr">
        <is>
          <t>reg_foot_traffic</t>
        </is>
      </c>
      <c r="C80" s="3" t="inlineStr">
        <is>
          <t>+</t>
        </is>
      </c>
      <c r="D80" s="3" t="inlineStr">
        <is>
          <t>집객시설이 유동인구를 만듦</t>
        </is>
      </c>
      <c r="E80" s="3" t="inlineStr">
        <is>
          <t>S17</t>
        </is>
      </c>
      <c r="F80" s="3" t="inlineStr">
        <is>
          <t>M</t>
        </is>
      </c>
    </row>
    <row r="81">
      <c r="A81" s="3" t="inlineStr">
        <is>
          <t>reg_worker_pop</t>
        </is>
      </c>
      <c r="B81" s="3" t="inlineStr">
        <is>
          <t>drv_arrival_rate</t>
        </is>
      </c>
      <c r="C81" s="3" t="inlineStr">
        <is>
          <t>+</t>
        </is>
      </c>
      <c r="D81" s="3" t="inlineStr">
        <is>
          <t>직장인 회식 수요</t>
        </is>
      </c>
      <c r="E81" s="3" t="inlineStr">
        <is>
          <t>S16</t>
        </is>
      </c>
      <c r="F81" s="3" t="inlineStr">
        <is>
          <t>M</t>
        </is>
      </c>
    </row>
    <row r="82">
      <c r="A82" s="3" t="inlineStr">
        <is>
          <t>reg_worker_pop</t>
        </is>
      </c>
      <c r="B82" s="3" t="inlineStr">
        <is>
          <t>mkt_party_size</t>
        </is>
      </c>
      <c r="C82" s="3" t="inlineStr">
        <is>
          <t>+</t>
        </is>
      </c>
      <c r="D82" s="3" t="inlineStr">
        <is>
          <t>회식은 일행 규모가 큼</t>
        </is>
      </c>
      <c r="E82" s="3" t="inlineStr"/>
      <c r="F82" s="3" t="inlineStr">
        <is>
          <t>L</t>
        </is>
      </c>
    </row>
    <row r="83">
      <c r="A83" s="3" t="inlineStr">
        <is>
          <t>reg_competitors</t>
        </is>
      </c>
      <c r="B83" s="3" t="inlineStr">
        <is>
          <t>drv_arrival_rate</t>
        </is>
      </c>
      <c r="C83" s="3" t="inlineStr">
        <is>
          <t>−</t>
        </is>
      </c>
      <c r="D83" s="3" t="inlineStr">
        <is>
          <t>거리 기준으로 수요를 나눠 가짐</t>
        </is>
      </c>
      <c r="E83" s="3" t="inlineStr">
        <is>
          <t>S20</t>
        </is>
      </c>
      <c r="F83" s="3" t="inlineStr">
        <is>
          <t>M</t>
        </is>
      </c>
    </row>
    <row r="84">
      <c r="A84" s="3" t="inlineStr">
        <is>
          <t>cst_meat_cost_per_portion</t>
        </is>
      </c>
      <c r="B84" s="3" t="inlineStr">
        <is>
          <t>drv_food_cost</t>
        </is>
      </c>
      <c r="C84" s="3" t="inlineStr">
        <is>
          <t>+</t>
        </is>
      </c>
      <c r="D84" s="3" t="inlineStr">
        <is>
          <t>1인분 원가 × 인분 × 고객수</t>
        </is>
      </c>
      <c r="E84" s="3" t="inlineStr">
        <is>
          <t>S31</t>
        </is>
      </c>
      <c r="F84" s="3" t="inlineStr">
        <is>
          <t>H</t>
        </is>
      </c>
    </row>
    <row r="85">
      <c r="A85" s="3" t="inlineStr">
        <is>
          <t>cst_alcohol_cost_per_bottle</t>
        </is>
      </c>
      <c r="B85" s="3" t="inlineStr">
        <is>
          <t>drv_food_cost</t>
        </is>
      </c>
      <c r="C85" s="3" t="inlineStr">
        <is>
          <t>+</t>
        </is>
      </c>
      <c r="D85" s="3" t="inlineStr">
        <is>
          <t>병당 원가 × 병수 × 고객수</t>
        </is>
      </c>
      <c r="E85" s="3" t="inlineStr">
        <is>
          <t>S27</t>
        </is>
      </c>
      <c r="F85" s="3" t="inlineStr">
        <is>
          <t>H</t>
        </is>
      </c>
    </row>
    <row r="86">
      <c r="A86" s="3" t="inlineStr">
        <is>
          <t>cst_side_cost_ratio</t>
        </is>
      </c>
      <c r="B86" s="3" t="inlineStr">
        <is>
          <t>drv_food_cost</t>
        </is>
      </c>
      <c r="C86" s="3" t="inlineStr">
        <is>
          <t>+</t>
        </is>
      </c>
      <c r="D86" s="3" t="inlineStr">
        <is>
          <t>식사 매출 × 원가율</t>
        </is>
      </c>
      <c r="E86" s="3" t="inlineStr"/>
      <c r="F86" s="3" t="inlineStr">
        <is>
          <t>H</t>
        </is>
      </c>
    </row>
    <row r="87">
      <c r="A87" s="3" t="inlineStr">
        <is>
          <t>cst_order_volume</t>
        </is>
      </c>
      <c r="B87" s="3" t="inlineStr">
        <is>
          <t>drv_food_cost</t>
        </is>
      </c>
      <c r="C87" s="3" t="inlineStr">
        <is>
          <t>+</t>
        </is>
      </c>
      <c r="D87" s="3" t="inlineStr">
        <is>
          <t>발주량 × kg당 단가 (고기 원가와 동일 경로)</t>
        </is>
      </c>
      <c r="E87" s="3" t="inlineStr"/>
      <c r="F87" s="3" t="inlineStr">
        <is>
          <t>H</t>
        </is>
      </c>
    </row>
    <row r="88">
      <c r="A88" s="3" t="inlineStr">
        <is>
          <t>cst_employee_wage</t>
        </is>
      </c>
      <c r="B88" s="3" t="inlineStr">
        <is>
          <t>drv_labor_cost</t>
        </is>
      </c>
      <c r="C88" s="3" t="inlineStr">
        <is>
          <t>+</t>
        </is>
      </c>
      <c r="D88" s="3" t="inlineStr">
        <is>
          <t>정직원 수 × 월급</t>
        </is>
      </c>
      <c r="E88" s="3" t="inlineStr">
        <is>
          <t>S36</t>
        </is>
      </c>
      <c r="F88" s="3" t="inlineStr">
        <is>
          <t>H</t>
        </is>
      </c>
    </row>
    <row r="89">
      <c r="A89" s="3" t="inlineStr">
        <is>
          <t>cst_owner_imputed_wage</t>
        </is>
      </c>
      <c r="B89" s="3" t="inlineStr">
        <is>
          <t>drv_labor_cost</t>
        </is>
      </c>
      <c r="C89" s="3" t="inlineStr">
        <is>
          <t>+</t>
        </is>
      </c>
      <c r="D89" s="3" t="inlineStr">
        <is>
          <t>대표자 귀속 인건비 포함 (KREI 기준)</t>
        </is>
      </c>
      <c r="E89" s="3" t="inlineStr">
        <is>
          <t>S32</t>
        </is>
      </c>
      <c r="F89" s="3" t="inlineStr">
        <is>
          <t>H</t>
        </is>
      </c>
    </row>
    <row r="90">
      <c r="A90" s="3" t="inlineStr">
        <is>
          <t>cst_holiday_pay_factor</t>
        </is>
      </c>
      <c r="B90" s="3" t="inlineStr">
        <is>
          <t>drv_labor_cost</t>
        </is>
      </c>
      <c r="C90" s="3" t="inlineStr">
        <is>
          <t>+</t>
        </is>
      </c>
      <c r="D90" s="3" t="inlineStr">
        <is>
          <t>주 15시간 이상 알바 주휴수당 가산</t>
        </is>
      </c>
      <c r="E90" s="3" t="inlineStr">
        <is>
          <t>S36</t>
        </is>
      </c>
      <c r="F90" s="3" t="inlineStr">
        <is>
          <t>H</t>
        </is>
      </c>
    </row>
    <row r="91">
      <c r="A91" s="3" t="inlineStr">
        <is>
          <t>cst_utilities</t>
        </is>
      </c>
      <c r="B91" s="3" t="inlineStr">
        <is>
          <t>drv_mgmt_cost</t>
        </is>
      </c>
      <c r="C91" s="3" t="inlineStr">
        <is>
          <t>+</t>
        </is>
      </c>
      <c r="D91" s="3" t="inlineStr">
        <is>
          <t>관리비 합산</t>
        </is>
      </c>
      <c r="E91" s="3" t="inlineStr">
        <is>
          <t>S31</t>
        </is>
      </c>
      <c r="F91" s="3" t="inlineStr">
        <is>
          <t>H</t>
        </is>
      </c>
    </row>
    <row r="92">
      <c r="A92" s="3" t="inlineStr">
        <is>
          <t>cst_other_opex</t>
        </is>
      </c>
      <c r="B92" s="3" t="inlineStr">
        <is>
          <t>drv_mgmt_cost</t>
        </is>
      </c>
      <c r="C92" s="3" t="inlineStr">
        <is>
          <t>+</t>
        </is>
      </c>
      <c r="D92" s="3" t="inlineStr">
        <is>
          <t>관리비 합산</t>
        </is>
      </c>
      <c r="E92" s="3" t="inlineStr">
        <is>
          <t>S31</t>
        </is>
      </c>
      <c r="F92" s="3" t="inlineStr">
        <is>
          <t>H</t>
        </is>
      </c>
    </row>
    <row r="93">
      <c r="A93" s="3" t="inlineStr">
        <is>
          <t>cst_card_share</t>
        </is>
      </c>
      <c r="B93" s="3" t="inlineStr">
        <is>
          <t>drv_fees</t>
        </is>
      </c>
      <c r="C93" s="3" t="inlineStr">
        <is>
          <t>+</t>
        </is>
      </c>
      <c r="D93" s="3" t="inlineStr">
        <is>
          <t>카드 결제분에만 수수료</t>
        </is>
      </c>
      <c r="E93" s="3" t="inlineStr"/>
      <c r="F93" s="3" t="inlineStr">
        <is>
          <t>H</t>
        </is>
      </c>
    </row>
    <row r="94">
      <c r="A94" s="3" t="inlineStr">
        <is>
          <t>cst_card_fee_rate</t>
        </is>
      </c>
      <c r="B94" s="3" t="inlineStr">
        <is>
          <t>drv_fees</t>
        </is>
      </c>
      <c r="C94" s="3" t="inlineStr">
        <is>
          <t>+</t>
        </is>
      </c>
      <c r="D94" s="3" t="inlineStr">
        <is>
          <t>수수료 = 카드매출 × 수수료율</t>
        </is>
      </c>
      <c r="E94" s="3" t="inlineStr"/>
      <c r="F94" s="3" t="inlineStr">
        <is>
          <t>H</t>
        </is>
      </c>
    </row>
    <row r="95">
      <c r="A95" s="3" t="inlineStr">
        <is>
          <t>sto_area_pyeong</t>
        </is>
      </c>
      <c r="B95" s="3" t="inlineStr">
        <is>
          <t>drv_seats</t>
        </is>
      </c>
      <c r="C95" s="3" t="inlineStr">
        <is>
          <t>+</t>
        </is>
      </c>
      <c r="D95" s="3" t="inlineStr">
        <is>
          <t>면적이 클수록 테이블 수용</t>
        </is>
      </c>
      <c r="E95" s="3" t="inlineStr">
        <is>
          <t>S34</t>
        </is>
      </c>
      <c r="F95" s="3" t="inlineStr">
        <is>
          <t>M</t>
        </is>
      </c>
    </row>
    <row r="96">
      <c r="A96" s="3" t="inlineStr">
        <is>
          <t>sto_area_pyeong</t>
        </is>
      </c>
      <c r="B96" s="3" t="inlineStr">
        <is>
          <t>drv_rent</t>
        </is>
      </c>
      <c r="C96" s="3" t="inlineStr">
        <is>
          <t>+</t>
        </is>
      </c>
      <c r="D96" s="3" t="inlineStr">
        <is>
          <t>면적 비례 임대료</t>
        </is>
      </c>
      <c r="E96" s="3" t="inlineStr"/>
      <c r="F96" s="3" t="inlineStr">
        <is>
          <t>M</t>
        </is>
      </c>
    </row>
    <row r="97">
      <c r="A97" s="3" t="inlineStr">
        <is>
          <t>sto_area_pyeong</t>
        </is>
      </c>
      <c r="B97" s="3" t="inlineStr">
        <is>
          <t>lbl_survival_months</t>
        </is>
      </c>
      <c r="C97" s="3" t="inlineStr">
        <is>
          <t>+</t>
        </is>
      </c>
      <c r="D97" s="3" t="inlineStr">
        <is>
          <t>규모가 클수록 생존 유리</t>
        </is>
      </c>
      <c r="E97" s="3" t="inlineStr">
        <is>
          <t>S02</t>
        </is>
      </c>
      <c r="F97" s="3" t="inlineStr">
        <is>
          <t>M</t>
        </is>
      </c>
    </row>
    <row r="98">
      <c r="A98" s="3" t="inlineStr">
        <is>
          <t>sto_tables</t>
        </is>
      </c>
      <c r="B98" s="3" t="inlineStr">
        <is>
          <t>drv_seats</t>
        </is>
      </c>
      <c r="C98" s="3" t="inlineStr">
        <is>
          <t>+</t>
        </is>
      </c>
      <c r="D98" s="3" t="inlineStr">
        <is>
          <t>좌석 = 테이블 × 의자</t>
        </is>
      </c>
      <c r="E98" s="3" t="inlineStr">
        <is>
          <t>S34</t>
        </is>
      </c>
      <c r="F98" s="3" t="inlineStr">
        <is>
          <t>H</t>
        </is>
      </c>
    </row>
    <row r="99">
      <c r="A99" s="3" t="inlineStr">
        <is>
          <t>sto_seats_per_table</t>
        </is>
      </c>
      <c r="B99" s="3" t="inlineStr">
        <is>
          <t>drv_seats</t>
        </is>
      </c>
      <c r="C99" s="3" t="inlineStr">
        <is>
          <t>+</t>
        </is>
      </c>
      <c r="D99" s="3" t="inlineStr">
        <is>
          <t>좌석 = 테이블 × 의자</t>
        </is>
      </c>
      <c r="E99" s="3" t="inlineStr">
        <is>
          <t>S34</t>
        </is>
      </c>
      <c r="F99" s="3" t="inlineStr">
        <is>
          <t>H</t>
        </is>
      </c>
    </row>
    <row r="100">
      <c r="A100" s="3" t="inlineStr">
        <is>
          <t>sto_terrace</t>
        </is>
      </c>
      <c r="B100" s="3" t="inlineStr">
        <is>
          <t>drv_seats</t>
        </is>
      </c>
      <c r="C100" s="3" t="inlineStr">
        <is>
          <t>+</t>
        </is>
      </c>
      <c r="D100" s="3" t="inlineStr">
        <is>
          <t>야장 좌석 추가 (날씨 조건부)</t>
        </is>
      </c>
      <c r="E100" s="3" t="inlineStr"/>
      <c r="F100" s="3" t="inlineStr">
        <is>
          <t>H</t>
        </is>
      </c>
    </row>
    <row r="101">
      <c r="A101" s="3" t="inlineStr">
        <is>
          <t>sto_terrace_availability</t>
        </is>
      </c>
      <c r="B101" s="3" t="inlineStr">
        <is>
          <t>drv_seats</t>
        </is>
      </c>
      <c r="C101" s="3" t="inlineStr">
        <is>
          <t>+</t>
        </is>
      </c>
      <c r="D101" s="3" t="inlineStr">
        <is>
          <t>비·겨울에는 야장 좌석 사용 불가</t>
        </is>
      </c>
      <c r="E101" s="3" t="inlineStr"/>
      <c r="F101" s="3" t="inlineStr">
        <is>
          <t>H</t>
        </is>
      </c>
    </row>
    <row r="102">
      <c r="A102" s="3" t="inlineStr">
        <is>
          <t>sto_parttimers</t>
        </is>
      </c>
      <c r="B102" s="3" t="inlineStr">
        <is>
          <t>drv_labor_cost</t>
        </is>
      </c>
      <c r="C102" s="3" t="inlineStr">
        <is>
          <t>+</t>
        </is>
      </c>
      <c r="D102" s="3" t="inlineStr">
        <is>
          <t>알바 수 × 시간 × 시급</t>
        </is>
      </c>
      <c r="E102" s="3" t="inlineStr"/>
      <c r="F102" s="3" t="inlineStr">
        <is>
          <t>H</t>
        </is>
      </c>
    </row>
    <row r="103">
      <c r="A103" s="3" t="inlineStr">
        <is>
          <t>sto_parttimers</t>
        </is>
      </c>
      <c r="B103" s="3" t="inlineStr">
        <is>
          <t>drv_balk_rate</t>
        </is>
      </c>
      <c r="C103" s="3" t="inlineStr">
        <is>
          <t>−</t>
        </is>
      </c>
      <c r="D103" s="3" t="inlineStr">
        <is>
          <t>서빙 인력이 적으면 대기·이탈 증가</t>
        </is>
      </c>
      <c r="E103" s="3" t="inlineStr"/>
      <c r="F103" s="3" t="inlineStr">
        <is>
          <t>M</t>
        </is>
      </c>
    </row>
    <row r="104">
      <c r="A104" s="3" t="inlineStr">
        <is>
          <t>sto_parttime_wage</t>
        </is>
      </c>
      <c r="B104" s="3" t="inlineStr">
        <is>
          <t>drv_labor_cost</t>
        </is>
      </c>
      <c r="C104" s="3" t="inlineStr">
        <is>
          <t>+</t>
        </is>
      </c>
      <c r="D104" s="3" t="inlineStr">
        <is>
          <t>최저임금 인상 = 인건비 증가</t>
        </is>
      </c>
      <c r="E104" s="3" t="inlineStr">
        <is>
          <t>S36</t>
        </is>
      </c>
      <c r="F104" s="3" t="inlineStr">
        <is>
          <t>H</t>
        </is>
      </c>
    </row>
    <row r="105">
      <c r="A105" s="3" t="inlineStr">
        <is>
          <t>sto_parttime_shift_hours</t>
        </is>
      </c>
      <c r="B105" s="3" t="inlineStr">
        <is>
          <t>drv_labor_cost</t>
        </is>
      </c>
      <c r="C105" s="3" t="inlineStr">
        <is>
          <t>+</t>
        </is>
      </c>
      <c r="D105" s="3" t="inlineStr">
        <is>
          <t>근무시간 × 시급</t>
        </is>
      </c>
      <c r="E105" s="3" t="inlineStr"/>
      <c r="F105" s="3" t="inlineStr">
        <is>
          <t>H</t>
        </is>
      </c>
    </row>
    <row r="106">
      <c r="A106" s="3" t="inlineStr">
        <is>
          <t>sto_employees</t>
        </is>
      </c>
      <c r="B106" s="3" t="inlineStr">
        <is>
          <t>drv_labor_cost</t>
        </is>
      </c>
      <c r="C106" s="3" t="inlineStr">
        <is>
          <t>+</t>
        </is>
      </c>
      <c r="D106" s="3" t="inlineStr">
        <is>
          <t>정직원 수 × 월급</t>
        </is>
      </c>
      <c r="E106" s="3" t="inlineStr">
        <is>
          <t>S31</t>
        </is>
      </c>
      <c r="F106" s="3" t="inlineStr">
        <is>
          <t>H</t>
        </is>
      </c>
    </row>
    <row r="107">
      <c r="A107" s="3" t="inlineStr">
        <is>
          <t>sto_open_days</t>
        </is>
      </c>
      <c r="B107" s="3" t="inlineStr">
        <is>
          <t>drv_labor_cost</t>
        </is>
      </c>
      <c r="C107" s="3" t="inlineStr">
        <is>
          <t>+</t>
        </is>
      </c>
      <c r="D107" s="3" t="inlineStr">
        <is>
          <t>알바 인건비는 영업일 비례</t>
        </is>
      </c>
      <c r="E107" s="3" t="inlineStr"/>
      <c r="F107" s="3" t="inlineStr">
        <is>
          <t>H</t>
        </is>
      </c>
    </row>
    <row r="108">
      <c r="A108" s="3" t="inlineStr">
        <is>
          <t>sto_wifi</t>
        </is>
      </c>
      <c r="B108" s="3" t="inlineStr">
        <is>
          <t>drv_dwell_time</t>
        </is>
      </c>
      <c r="C108" s="3" t="inlineStr">
        <is>
          <t>+</t>
        </is>
      </c>
      <c r="D108" s="3" t="inlineStr">
        <is>
          <t>와이파이는 체류를 늘림 (카페 템플릿에서 중요)</t>
        </is>
      </c>
      <c r="E108" s="3" t="inlineStr"/>
      <c r="F108" s="3" t="inlineStr">
        <is>
          <t>L</t>
        </is>
      </c>
    </row>
    <row r="109">
      <c r="A109" s="3" t="inlineStr">
        <is>
          <t>sto_franchise</t>
        </is>
      </c>
      <c r="B109" s="3" t="inlineStr">
        <is>
          <t>drv_total_cost</t>
        </is>
      </c>
      <c r="C109" s="3" t="inlineStr">
        <is>
          <t>+</t>
        </is>
      </c>
      <c r="D109" s="3" t="inlineStr">
        <is>
          <t>프랜차이즈 로열티·물류 마진</t>
        </is>
      </c>
      <c r="E109" s="3" t="inlineStr"/>
      <c r="F109" s="3" t="inlineStr">
        <is>
          <t>L</t>
        </is>
      </c>
    </row>
    <row r="110">
      <c r="A110" s="3" t="inlineStr">
        <is>
          <t>sto_franchise</t>
        </is>
      </c>
      <c r="B110" s="3" t="inlineStr">
        <is>
          <t>lbl_survival_months</t>
        </is>
      </c>
      <c r="C110" s="3" t="inlineStr">
        <is>
          <t>±</t>
        </is>
      </c>
      <c r="D110" s="3" t="inlineStr">
        <is>
          <t>3년 누적 실패율 독립점 61.4% vs 체인 57.2%</t>
        </is>
      </c>
      <c r="E110" s="3" t="inlineStr">
        <is>
          <t>S01</t>
        </is>
      </c>
      <c r="F110" s="3" t="inlineStr">
        <is>
          <t>M</t>
        </is>
      </c>
    </row>
    <row r="111">
      <c r="A111" s="3" t="inlineStr">
        <is>
          <t>drv_operating_profit</t>
        </is>
      </c>
      <c r="B111" s="3" t="inlineStr">
        <is>
          <t>lbl_survival_months</t>
        </is>
      </c>
      <c r="C111" s="3" t="inlineStr">
        <is>
          <t>+</t>
        </is>
      </c>
      <c r="D111" s="3" t="inlineStr">
        <is>
          <t>이익이 지속되면 폐업 위험 감소 (가설)</t>
        </is>
      </c>
      <c r="E111" s="3" t="inlineStr">
        <is>
          <t>S01</t>
        </is>
      </c>
      <c r="F111" s="3" t="inlineStr">
        <is>
          <t>L</t>
        </is>
      </c>
    </row>
    <row r="112">
      <c r="A112" s="3" t="inlineStr">
        <is>
          <t>drv_revenue</t>
        </is>
      </c>
      <c r="B112" s="3" t="inlineStr">
        <is>
          <t>lbl_rel_revenue_tercile</t>
        </is>
      </c>
      <c r="C112" s="3" t="inlineStr">
        <is>
          <t>+</t>
        </is>
      </c>
      <c r="D112" s="3" t="inlineStr">
        <is>
          <t>상권 점포당 매출 대비 비율로 분위 산정</t>
        </is>
      </c>
      <c r="E112" s="3" t="inlineStr">
        <is>
          <t>S10;S12</t>
        </is>
      </c>
      <c r="F112" s="3" t="inlineStr">
        <is>
          <t>H</t>
        </is>
      </c>
    </row>
    <row r="113">
      <c r="A113" s="3" t="inlineStr">
        <is>
          <t>drv_revenue</t>
        </is>
      </c>
      <c r="B113" s="3" t="inlineStr">
        <is>
          <t>lbl_revpash</t>
        </is>
      </c>
      <c r="C113" s="3" t="inlineStr">
        <is>
          <t>+</t>
        </is>
      </c>
      <c r="D113" s="3" t="inlineStr">
        <is>
          <t>RevPASH = 매출 ÷ 좌석·시간</t>
        </is>
      </c>
      <c r="E113" s="3" t="inlineStr">
        <is>
          <t>S07;S47</t>
        </is>
      </c>
      <c r="F113" s="3" t="inlineStr">
        <is>
          <t>H</t>
        </is>
      </c>
    </row>
    <row r="114">
      <c r="A114" s="3" t="inlineStr">
        <is>
          <t>drv_seats</t>
        </is>
      </c>
      <c r="B114" s="3" t="inlineStr">
        <is>
          <t>lbl_revpash</t>
        </is>
      </c>
      <c r="C114" s="3" t="inlineStr">
        <is>
          <t>−</t>
        </is>
      </c>
      <c r="D114" s="3" t="inlineStr">
        <is>
          <t>분모 (좌석 수)</t>
        </is>
      </c>
      <c r="E114" s="3" t="inlineStr">
        <is>
          <t>S07;S47</t>
        </is>
      </c>
      <c r="F114" s="3" t="inlineStr">
        <is>
          <t>H</t>
        </is>
      </c>
    </row>
    <row r="115">
      <c r="A115" s="3" t="inlineStr">
        <is>
          <t>drv_open_hours</t>
        </is>
      </c>
      <c r="B115" s="3" t="inlineStr">
        <is>
          <t>lbl_revpash</t>
        </is>
      </c>
      <c r="C115" s="3" t="inlineStr">
        <is>
          <t>−</t>
        </is>
      </c>
      <c r="D115" s="3" t="inlineStr">
        <is>
          <t>분모 (영업시간)</t>
        </is>
      </c>
      <c r="E115" s="3" t="inlineStr">
        <is>
          <t>S07;S47</t>
        </is>
      </c>
      <c r="F115" s="3" t="inlineStr">
        <is>
          <t>H</t>
        </is>
      </c>
    </row>
    <row r="116">
      <c r="A116" s="3" t="inlineStr">
        <is>
          <t>mkt_review_count</t>
        </is>
      </c>
      <c r="B116" s="3" t="inlineStr">
        <is>
          <t>lbl_review_signal</t>
        </is>
      </c>
      <c r="C116" s="3" t="inlineStr">
        <is>
          <t>+</t>
        </is>
      </c>
      <c r="D116" s="3" t="inlineStr">
        <is>
          <t>리뷰 속도는 리뷰 수 증가분</t>
        </is>
      </c>
      <c r="E116" s="3" t="inlineStr">
        <is>
          <t>S06</t>
        </is>
      </c>
      <c r="F116" s="3" t="inlineStr">
        <is>
          <t>H</t>
        </is>
      </c>
    </row>
    <row r="117">
      <c r="A117" s="3" t="inlineStr">
        <is>
          <t>lbl_review_signal</t>
        </is>
      </c>
      <c r="B117" s="3" t="inlineStr">
        <is>
          <t>lbl_survival_months</t>
        </is>
      </c>
      <c r="C117" s="3" t="inlineStr">
        <is>
          <t>±</t>
        </is>
      </c>
      <c r="D117" s="3" t="inlineStr">
        <is>
          <t>평점 분산이 1년 후 생존을 예측</t>
        </is>
      </c>
      <c r="E117" s="3" t="inlineStr">
        <is>
          <t>S06</t>
        </is>
      </c>
      <c r="F117" s="3" t="inlineStr">
        <is>
          <t>M</t>
        </is>
      </c>
    </row>
    <row r="118">
      <c r="A118" s="3" t="inlineStr">
        <is>
          <t>lbl_survival_months</t>
        </is>
      </c>
      <c r="B118" s="3" t="inlineStr">
        <is>
          <t>lbl_closed_24m</t>
        </is>
      </c>
      <c r="C118" s="3" t="inlineStr">
        <is>
          <t>−</t>
        </is>
      </c>
      <c r="D118" s="3" t="inlineStr">
        <is>
          <t>24개월 미만 폐업 = 1 (정의)</t>
        </is>
      </c>
      <c r="E118" s="3" t="inlineStr">
        <is>
          <t>S09</t>
        </is>
      </c>
      <c r="F118" s="3" t="inlineStr">
        <is>
          <t>H</t>
        </is>
      </c>
    </row>
    <row r="119">
      <c r="A119" s="3" t="inlineStr">
        <is>
          <t>seg_twenties_party_factor</t>
        </is>
      </c>
      <c r="B119" s="3" t="inlineStr">
        <is>
          <t>drv_covers</t>
        </is>
      </c>
      <c r="C119" s="3" t="inlineStr">
        <is>
          <t>+</t>
        </is>
      </c>
      <c r="D119" s="3" t="inlineStr">
        <is>
          <t>이 손님층의 일행이 클수록 팀당 착석 인원 증가</t>
        </is>
      </c>
      <c r="E119" s="3" t="inlineStr"/>
      <c r="F119" s="3" t="inlineStr">
        <is>
          <t>M</t>
        </is>
      </c>
    </row>
    <row r="120">
      <c r="A120" s="3" t="inlineStr">
        <is>
          <t>seg_twenties_dwell_factor</t>
        </is>
      </c>
      <c r="B120" s="3" t="inlineStr">
        <is>
          <t>drv_dwell_time</t>
        </is>
      </c>
      <c r="C120" s="3" t="inlineStr">
        <is>
          <t>+</t>
        </is>
      </c>
      <c r="D120" s="3" t="inlineStr">
        <is>
          <t>이 손님층이 오래 머물수록 체류시간 증가</t>
        </is>
      </c>
      <c r="E120" s="3" t="inlineStr"/>
      <c r="F120" s="3" t="inlineStr">
        <is>
          <t>M</t>
        </is>
      </c>
    </row>
    <row r="121">
      <c r="A121" s="3" t="inlineStr">
        <is>
          <t>seg_twenties_alcohol_factor</t>
        </is>
      </c>
      <c r="B121" s="3" t="inlineStr">
        <is>
          <t>drv_ticket</t>
        </is>
      </c>
      <c r="C121" s="3" t="inlineStr">
        <is>
          <t>+</t>
        </is>
      </c>
      <c r="D121" s="3" t="inlineStr">
        <is>
          <t>이 손님층의 음주량이 많을수록 주류 매출 증가</t>
        </is>
      </c>
      <c r="E121" s="3" t="inlineStr"/>
      <c r="F121" s="3" t="inlineStr">
        <is>
          <t>M</t>
        </is>
      </c>
    </row>
    <row r="122">
      <c r="A122" s="3" t="inlineStr">
        <is>
          <t>seg_twenties_patience_factor</t>
        </is>
      </c>
      <c r="B122" s="3" t="inlineStr">
        <is>
          <t>drv_balk_rate</t>
        </is>
      </c>
      <c r="C122" s="3" t="inlineStr">
        <is>
          <t>−</t>
        </is>
      </c>
      <c r="D122" s="3" t="inlineStr">
        <is>
          <t>이 손님층이 오래 기다릴수록 대기 이탈 감소</t>
        </is>
      </c>
      <c r="E122" s="3" t="inlineStr"/>
      <c r="F122" s="3" t="inlineStr">
        <is>
          <t>M</t>
        </is>
      </c>
    </row>
    <row r="123">
      <c r="A123" s="3" t="inlineStr">
        <is>
          <t>seg_twenties_early_mult</t>
        </is>
      </c>
      <c r="B123" s="3" t="inlineStr">
        <is>
          <t>drv_arrival_rate</t>
        </is>
      </c>
      <c r="C123" s="3" t="inlineStr">
        <is>
          <t>±</t>
        </is>
      </c>
      <c r="D123" s="3" t="inlineStr">
        <is>
          <t>이른 저녁 도착 비중을 바꿈</t>
        </is>
      </c>
      <c r="E123" s="3" t="inlineStr"/>
      <c r="F123" s="3" t="inlineStr">
        <is>
          <t>L</t>
        </is>
      </c>
    </row>
    <row r="124">
      <c r="A124" s="3" t="inlineStr">
        <is>
          <t>seg_twenties_late_mult</t>
        </is>
      </c>
      <c r="B124" s="3" t="inlineStr">
        <is>
          <t>drv_arrival_rate</t>
        </is>
      </c>
      <c r="C124" s="3" t="inlineStr">
        <is>
          <t>±</t>
        </is>
      </c>
      <c r="D124" s="3" t="inlineStr">
        <is>
          <t>늦은 밤 도착 비중을 바꿈</t>
        </is>
      </c>
      <c r="E124" s="3" t="inlineStr"/>
      <c r="F124" s="3" t="inlineStr">
        <is>
          <t>L</t>
        </is>
      </c>
    </row>
    <row r="125">
      <c r="A125" s="3" t="inlineStr">
        <is>
          <t>seg_office_party_factor</t>
        </is>
      </c>
      <c r="B125" s="3" t="inlineStr">
        <is>
          <t>drv_covers</t>
        </is>
      </c>
      <c r="C125" s="3" t="inlineStr">
        <is>
          <t>+</t>
        </is>
      </c>
      <c r="D125" s="3" t="inlineStr">
        <is>
          <t>이 손님층의 일행이 클수록 팀당 착석 인원 증가</t>
        </is>
      </c>
      <c r="E125" s="3" t="inlineStr"/>
      <c r="F125" s="3" t="inlineStr">
        <is>
          <t>M</t>
        </is>
      </c>
    </row>
    <row r="126">
      <c r="A126" s="3" t="inlineStr">
        <is>
          <t>seg_office_dwell_factor</t>
        </is>
      </c>
      <c r="B126" s="3" t="inlineStr">
        <is>
          <t>drv_dwell_time</t>
        </is>
      </c>
      <c r="C126" s="3" t="inlineStr">
        <is>
          <t>+</t>
        </is>
      </c>
      <c r="D126" s="3" t="inlineStr">
        <is>
          <t>이 손님층이 오래 머물수록 체류시간 증가</t>
        </is>
      </c>
      <c r="E126" s="3" t="inlineStr"/>
      <c r="F126" s="3" t="inlineStr">
        <is>
          <t>M</t>
        </is>
      </c>
    </row>
    <row r="127">
      <c r="A127" s="3" t="inlineStr">
        <is>
          <t>seg_office_alcohol_factor</t>
        </is>
      </c>
      <c r="B127" s="3" t="inlineStr">
        <is>
          <t>drv_ticket</t>
        </is>
      </c>
      <c r="C127" s="3" t="inlineStr">
        <is>
          <t>+</t>
        </is>
      </c>
      <c r="D127" s="3" t="inlineStr">
        <is>
          <t>이 손님층의 음주량이 많을수록 주류 매출 증가</t>
        </is>
      </c>
      <c r="E127" s="3" t="inlineStr"/>
      <c r="F127" s="3" t="inlineStr">
        <is>
          <t>M</t>
        </is>
      </c>
    </row>
    <row r="128">
      <c r="A128" s="3" t="inlineStr">
        <is>
          <t>seg_office_patience_factor</t>
        </is>
      </c>
      <c r="B128" s="3" t="inlineStr">
        <is>
          <t>drv_balk_rate</t>
        </is>
      </c>
      <c r="C128" s="3" t="inlineStr">
        <is>
          <t>−</t>
        </is>
      </c>
      <c r="D128" s="3" t="inlineStr">
        <is>
          <t>이 손님층이 오래 기다릴수록 대기 이탈 감소</t>
        </is>
      </c>
      <c r="E128" s="3" t="inlineStr"/>
      <c r="F128" s="3" t="inlineStr">
        <is>
          <t>M</t>
        </is>
      </c>
    </row>
    <row r="129">
      <c r="A129" s="3" t="inlineStr">
        <is>
          <t>seg_office_early_mult</t>
        </is>
      </c>
      <c r="B129" s="3" t="inlineStr">
        <is>
          <t>drv_arrival_rate</t>
        </is>
      </c>
      <c r="C129" s="3" t="inlineStr">
        <is>
          <t>±</t>
        </is>
      </c>
      <c r="D129" s="3" t="inlineStr">
        <is>
          <t>이른 저녁 도착 비중을 바꿈</t>
        </is>
      </c>
      <c r="E129" s="3" t="inlineStr"/>
      <c r="F129" s="3" t="inlineStr">
        <is>
          <t>L</t>
        </is>
      </c>
    </row>
    <row r="130">
      <c r="A130" s="3" t="inlineStr">
        <is>
          <t>seg_office_late_mult</t>
        </is>
      </c>
      <c r="B130" s="3" t="inlineStr">
        <is>
          <t>drv_arrival_rate</t>
        </is>
      </c>
      <c r="C130" s="3" t="inlineStr">
        <is>
          <t>±</t>
        </is>
      </c>
      <c r="D130" s="3" t="inlineStr">
        <is>
          <t>늦은 밤 도착 비중을 바꿈</t>
        </is>
      </c>
      <c r="E130" s="3" t="inlineStr"/>
      <c r="F130" s="3" t="inlineStr">
        <is>
          <t>L</t>
        </is>
      </c>
    </row>
    <row r="131">
      <c r="A131" s="3" t="inlineStr">
        <is>
          <t>seg_family_party_factor</t>
        </is>
      </c>
      <c r="B131" s="3" t="inlineStr">
        <is>
          <t>drv_covers</t>
        </is>
      </c>
      <c r="C131" s="3" t="inlineStr">
        <is>
          <t>+</t>
        </is>
      </c>
      <c r="D131" s="3" t="inlineStr">
        <is>
          <t>이 손님층의 일행이 클수록 팀당 착석 인원 증가</t>
        </is>
      </c>
      <c r="E131" s="3" t="inlineStr"/>
      <c r="F131" s="3" t="inlineStr">
        <is>
          <t>M</t>
        </is>
      </c>
    </row>
    <row r="132">
      <c r="A132" s="3" t="inlineStr">
        <is>
          <t>seg_family_dwell_factor</t>
        </is>
      </c>
      <c r="B132" s="3" t="inlineStr">
        <is>
          <t>drv_dwell_time</t>
        </is>
      </c>
      <c r="C132" s="3" t="inlineStr">
        <is>
          <t>+</t>
        </is>
      </c>
      <c r="D132" s="3" t="inlineStr">
        <is>
          <t>이 손님층이 오래 머물수록 체류시간 증가</t>
        </is>
      </c>
      <c r="E132" s="3" t="inlineStr"/>
      <c r="F132" s="3" t="inlineStr">
        <is>
          <t>M</t>
        </is>
      </c>
    </row>
    <row r="133">
      <c r="A133" s="3" t="inlineStr">
        <is>
          <t>seg_family_alcohol_factor</t>
        </is>
      </c>
      <c r="B133" s="3" t="inlineStr">
        <is>
          <t>drv_ticket</t>
        </is>
      </c>
      <c r="C133" s="3" t="inlineStr">
        <is>
          <t>+</t>
        </is>
      </c>
      <c r="D133" s="3" t="inlineStr">
        <is>
          <t>이 손님층의 음주량이 많을수록 주류 매출 증가</t>
        </is>
      </c>
      <c r="E133" s="3" t="inlineStr"/>
      <c r="F133" s="3" t="inlineStr">
        <is>
          <t>M</t>
        </is>
      </c>
    </row>
    <row r="134">
      <c r="A134" s="3" t="inlineStr">
        <is>
          <t>seg_family_patience_factor</t>
        </is>
      </c>
      <c r="B134" s="3" t="inlineStr">
        <is>
          <t>drv_balk_rate</t>
        </is>
      </c>
      <c r="C134" s="3" t="inlineStr">
        <is>
          <t>−</t>
        </is>
      </c>
      <c r="D134" s="3" t="inlineStr">
        <is>
          <t>이 손님층이 오래 기다릴수록 대기 이탈 감소</t>
        </is>
      </c>
      <c r="E134" s="3" t="inlineStr"/>
      <c r="F134" s="3" t="inlineStr">
        <is>
          <t>M</t>
        </is>
      </c>
    </row>
    <row r="135">
      <c r="A135" s="3" t="inlineStr">
        <is>
          <t>seg_family_early_mult</t>
        </is>
      </c>
      <c r="B135" s="3" t="inlineStr">
        <is>
          <t>drv_arrival_rate</t>
        </is>
      </c>
      <c r="C135" s="3" t="inlineStr">
        <is>
          <t>±</t>
        </is>
      </c>
      <c r="D135" s="3" t="inlineStr">
        <is>
          <t>이른 저녁 도착 비중을 바꿈</t>
        </is>
      </c>
      <c r="E135" s="3" t="inlineStr"/>
      <c r="F135" s="3" t="inlineStr">
        <is>
          <t>L</t>
        </is>
      </c>
    </row>
    <row r="136">
      <c r="A136" s="3" t="inlineStr">
        <is>
          <t>seg_family_late_mult</t>
        </is>
      </c>
      <c r="B136" s="3" t="inlineStr">
        <is>
          <t>drv_arrival_rate</t>
        </is>
      </c>
      <c r="C136" s="3" t="inlineStr">
        <is>
          <t>±</t>
        </is>
      </c>
      <c r="D136" s="3" t="inlineStr">
        <is>
          <t>늦은 밤 도착 비중을 바꿈</t>
        </is>
      </c>
      <c r="E136" s="3" t="inlineStr"/>
      <c r="F136" s="3" t="inlineStr">
        <is>
          <t>L</t>
        </is>
      </c>
    </row>
    <row r="137">
      <c r="A137" s="3" t="inlineStr">
        <is>
          <t>reg_age_mix</t>
        </is>
      </c>
      <c r="B137" s="3" t="inlineStr">
        <is>
          <t>seg_twenties_early_mult</t>
        </is>
      </c>
      <c r="C137" s="3" t="inlineStr">
        <is>
          <t>±</t>
        </is>
      </c>
      <c r="D137" s="3" t="inlineStr">
        <is>
          <t>연령 비중이 손님층 구성의 기준 (20대 비중)</t>
        </is>
      </c>
      <c r="E137" s="3" t="inlineStr">
        <is>
          <t>S12</t>
        </is>
      </c>
      <c r="F137" s="3" t="inlineStr">
        <is>
          <t>M</t>
        </is>
      </c>
    </row>
    <row r="138">
      <c r="A138" s="3" t="inlineStr">
        <is>
          <t>wx_rain_nights_share</t>
        </is>
      </c>
      <c r="B138" s="3" t="inlineStr">
        <is>
          <t>sto_terrace_availability</t>
        </is>
      </c>
      <c r="C138" s="3" t="inlineStr">
        <is>
          <t>−</t>
        </is>
      </c>
      <c r="D138" s="3" t="inlineStr">
        <is>
          <t>비 오는 밤에는 야장을 펴지 않음</t>
        </is>
      </c>
      <c r="E138" s="3" t="inlineStr">
        <is>
          <t>S75</t>
        </is>
      </c>
      <c r="F138" s="3" t="inlineStr">
        <is>
          <t>H</t>
        </is>
      </c>
    </row>
    <row r="139">
      <c r="A139" s="3" t="inlineStr">
        <is>
          <t>wx_rain_nights_share</t>
        </is>
      </c>
      <c r="B139" s="3" t="inlineStr">
        <is>
          <t>drv_arrival_rate</t>
        </is>
      </c>
      <c r="C139" s="3" t="inlineStr">
        <is>
          <t>−</t>
        </is>
      </c>
      <c r="D139" s="3" t="inlineStr">
        <is>
          <t>비 오는 밤이 많을수록 손님 감소</t>
        </is>
      </c>
      <c r="E139" s="3" t="inlineStr">
        <is>
          <t>S75</t>
        </is>
      </c>
      <c r="F139" s="3" t="inlineStr">
        <is>
          <t>M</t>
        </is>
      </c>
    </row>
    <row r="140">
      <c r="A140" s="3" t="inlineStr">
        <is>
          <t>wx_rain_arrival_effect</t>
        </is>
      </c>
      <c r="B140" s="3" t="inlineStr">
        <is>
          <t>drv_arrival_rate</t>
        </is>
      </c>
      <c r="C140" s="3" t="inlineStr">
        <is>
          <t>+</t>
        </is>
      </c>
      <c r="D140" s="3" t="inlineStr">
        <is>
          <t>비 오는 밤 한 번의 손님 변화 크기 (음수)</t>
        </is>
      </c>
      <c r="E140" s="3" t="inlineStr"/>
      <c r="F140" s="3" t="inlineStr">
        <is>
          <t>L</t>
        </is>
      </c>
    </row>
  </sheetData>
  <autoFilter ref="A1:F14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30" customWidth="1" min="3" max="3"/>
    <col width="7" customWidth="1" min="4" max="4"/>
    <col width="40" customWidth="1" min="5" max="5"/>
    <col width="12" customWidth="1" min="6" max="6"/>
    <col width="60" customWidth="1" min="7" max="7"/>
  </cols>
  <sheetData>
    <row r="1">
      <c r="A1" s="8" t="inlineStr">
        <is>
          <t>source_id</t>
        </is>
      </c>
      <c r="B1" s="8" t="inlineStr">
        <is>
          <t>title</t>
        </is>
      </c>
      <c r="C1" s="8" t="inlineStr">
        <is>
          <t>publisher_author</t>
        </is>
      </c>
      <c r="D1" s="8" t="inlineStr">
        <is>
          <t>year</t>
        </is>
      </c>
      <c r="E1" s="8" t="inlineStr">
        <is>
          <t>url</t>
        </is>
      </c>
      <c r="F1" s="8" t="inlineStr">
        <is>
          <t>type</t>
        </is>
      </c>
      <c r="G1" s="8" t="inlineStr">
        <is>
          <t>reliability_note</t>
        </is>
      </c>
    </row>
    <row r="2">
      <c r="A2" s="3" t="inlineStr">
        <is>
          <t>S01</t>
        </is>
      </c>
      <c r="B2" s="3" t="inlineStr">
        <is>
          <t>Why Restaurants Fail</t>
        </is>
      </c>
      <c r="C2" s="3" t="inlineStr">
        <is>
          <t>Parsa et al. (Cornell HRAQ)</t>
        </is>
      </c>
      <c r="D2" s="3" t="inlineStr">
        <is>
          <t>2005</t>
        </is>
      </c>
      <c r="E2" s="3" t="inlineStr">
        <is>
          <t>https://econ.ucsb.edu/%7Etedb/Courses/Ec1F07/restaurantsfail.pdf</t>
        </is>
      </c>
      <c r="F2" s="3" t="inlineStr">
        <is>
          <t>paper</t>
        </is>
      </c>
      <c r="G2" s="3" t="inlineStr">
        <is>
          <t>Peer-reviewed; Columbus OH permits 1996-99; label = ownership turnover; independents 61.36% vs chains 57.22% 3-yr failure</t>
        </is>
      </c>
    </row>
    <row r="3">
      <c r="A3" s="3" t="inlineStr">
        <is>
          <t>S02</t>
        </is>
      </c>
      <c r="B3" s="3" t="inlineStr">
        <is>
          <t>Why Restaurants Fail Part II</t>
        </is>
      </c>
      <c r="C3" s="3" t="inlineStr">
        <is>
          <t>Parsa et al. (J. Foodservice Business Research)</t>
        </is>
      </c>
      <c r="D3" s="3" t="inlineStr">
        <is>
          <t>2011</t>
        </is>
      </c>
      <c r="E3" s="3" t="inlineStr">
        <is>
          <t>https://foodethics.univie.ac.at/fileadmin/user_upload/p_foodethik/Parsa___et.al._2011_Why_Restaurants_Fail_Part_2.pdf</t>
        </is>
      </c>
      <c r="F3" s="3" t="inlineStr">
        <is>
          <t>paper</t>
        </is>
      </c>
      <c r="G3" s="3" t="inlineStr">
        <is>
          <t>Peer-reviewed; K-M + Cox; size and independence predict closure; US data</t>
        </is>
      </c>
    </row>
    <row r="4">
      <c r="A4" s="3" t="inlineStr">
        <is>
          <t>S03</t>
        </is>
      </c>
      <c r="B4" s="3" t="inlineStr">
        <is>
          <t>Reviews, Reputation, and Revenue (The Yelp Factor)</t>
        </is>
      </c>
      <c r="C4" s="3" t="inlineStr">
        <is>
          <t>Michael Luca (HBS Working Knowledge summary)</t>
        </is>
      </c>
      <c r="D4" s="3" t="inlineStr"/>
      <c r="E4" s="3" t="inlineStr">
        <is>
          <t>https://www.library.hbs.edu/working-knowledge/the-yelp-factor-are-consumer-reviews-good-for-business</t>
        </is>
      </c>
      <c r="F4" s="3" t="inlineStr">
        <is>
          <t>paper</t>
        </is>
      </c>
      <c r="G4" s="3" t="inlineStr">
        <is>
          <t>Summary page read, not the paper; +1 star = +5-9% revenue for independents; Seattle; year not stated in research file</t>
        </is>
      </c>
    </row>
    <row r="5">
      <c r="A5" s="3" t="inlineStr">
        <is>
          <t>S04</t>
        </is>
      </c>
      <c r="B5" s="3" t="inlineStr">
        <is>
          <t>Mining Yelp (restaurant closure)</t>
        </is>
      </c>
      <c r="C5" s="3" t="inlineStr">
        <is>
          <t>Mejia; Mankad &amp; Gopal (UMD news)</t>
        </is>
      </c>
      <c r="D5" s="3" t="inlineStr"/>
      <c r="E5" s="3" t="inlineStr">
        <is>
          <t>https://rhsmith.umd.edu/news/mining-yelp</t>
        </is>
      </c>
      <c r="F5" s="3" t="inlineStr">
        <is>
          <t>news</t>
        </is>
      </c>
      <c r="G5" s="3" t="inlineStr">
        <is>
          <t>University news summary of a study; closed yes/no label; DC 2005-14</t>
        </is>
      </c>
    </row>
    <row r="6">
      <c r="A6" s="3" t="inlineStr">
        <is>
          <t>S05</t>
        </is>
      </c>
      <c r="B6" s="3" t="inlineStr">
        <is>
          <t>Restaurant survival prediction from Yelp</t>
        </is>
      </c>
      <c r="C6" s="3" t="inlineStr">
        <is>
          <t>Vallapuram et al. (arXiv)</t>
        </is>
      </c>
      <c r="D6" s="3" t="inlineStr">
        <is>
          <t>2021</t>
        </is>
      </c>
      <c r="E6" s="3" t="inlineStr">
        <is>
          <t>https://www.arxiv.org/pdf/2109.12370</t>
        </is>
      </c>
      <c r="F6" s="3" t="inlineStr">
        <is>
          <t>paper</t>
        </is>
      </c>
      <c r="G6" s="3" t="inlineStr">
        <is>
          <t>Preprint; binary open-2017 to dead-2019 label; AUC 0.72</t>
        </is>
      </c>
    </row>
    <row r="7">
      <c r="A7" s="3" t="inlineStr">
        <is>
          <t>S06</t>
        </is>
      </c>
      <c r="B7" s="3" t="inlineStr">
        <is>
          <t>Review score variance and restaurant survival</t>
        </is>
      </c>
      <c r="C7" s="3" t="inlineStr">
        <is>
          <t>Li et al. (Tourism Management; PolyU news)</t>
        </is>
      </c>
      <c r="D7" s="3" t="inlineStr">
        <is>
          <t>2025</t>
        </is>
      </c>
      <c r="E7" s="3" t="inlineStr">
        <is>
          <t>https://www.polyu.edu.hk/shtm/news-and-events/news/2026/20260720_restaurant-reviews/</t>
        </is>
      </c>
      <c r="F7" s="3" t="inlineStr">
        <is>
          <t>paper</t>
        </is>
      </c>
      <c r="G7" s="3" t="inlineStr">
        <is>
          <t>Peer-reviewed per news page; variance of review scores predicts 1-yr survival better than mean; Boston</t>
        </is>
      </c>
    </row>
    <row r="8">
      <c r="A8" s="3" t="inlineStr">
        <is>
          <t>S07</t>
        </is>
      </c>
      <c r="B8" s="3" t="inlineStr">
        <is>
          <t>RevPASH (revenue per available seat-hour)</t>
        </is>
      </c>
      <c r="C8" s="3" t="inlineStr">
        <is>
          <t>Sheryl Kimes (Cornell eCommons)</t>
        </is>
      </c>
      <c r="D8" s="3" t="inlineStr"/>
      <c r="E8" s="3" t="inlineStr">
        <is>
          <t>https://ecommons.cornell.edu/entities/publication/519ba198-3b5b-4fa3-84ca-042677dd7a5e</t>
        </is>
      </c>
      <c r="F8" s="3" t="inlineStr">
        <is>
          <t>paper</t>
        </is>
      </c>
      <c r="G8" s="3" t="inlineStr">
        <is>
          <t>Formula taken from a search summary; the eCommons record itself was not opened (see S47)</t>
        </is>
      </c>
    </row>
    <row r="9">
      <c r="A9" s="3" t="inlineStr">
        <is>
          <t>S08</t>
        </is>
      </c>
      <c r="B9" s="3" t="inlineStr">
        <is>
          <t>이태원 음식점 생존분석</t>
        </is>
      </c>
      <c r="C9" s="3" t="inlineStr">
        <is>
          <t>정동규·윤희연 (대한건축학회)</t>
        </is>
      </c>
      <c r="D9" s="3" t="inlineStr">
        <is>
          <t>2017</t>
        </is>
      </c>
      <c r="E9" s="3" t="inlineStr">
        <is>
          <t>https://laplanning.snu.ac.kr/publication/2017-jeong/</t>
        </is>
      </c>
      <c r="F9" s="3" t="inlineStr">
        <is>
          <t>paper</t>
        </is>
      </c>
      <c r="G9" s="3" t="inlineStr">
        <is>
          <t>Peer-reviewed; 폐업 여부 + 영업기간 (K-M + Cox); median survival 골목 2304 vs 발달상권 2748 days</t>
        </is>
      </c>
    </row>
    <row r="10">
      <c r="A10" s="3" t="inlineStr">
        <is>
          <t>S09</t>
        </is>
      </c>
      <c r="B10" s="3" t="inlineStr">
        <is>
          <t>서울 카페 생존분석 (LOCALDATA 인허가)</t>
        </is>
      </c>
      <c r="C10" s="3" t="inlineStr">
        <is>
          <t>이채은·최인수 (한국경영공학회지; via dhnews)</t>
        </is>
      </c>
      <c r="D10" s="3" t="inlineStr">
        <is>
          <t>2026</t>
        </is>
      </c>
      <c r="E10" s="3" t="inlineStr">
        <is>
          <t>https://dhnews.co.kr/news/view/1065577402337354</t>
        </is>
      </c>
      <c r="F10" s="3" t="inlineStr">
        <is>
          <t>paper</t>
        </is>
      </c>
      <c r="G10" s="3" t="inlineStr">
        <is>
          <t>Read via news article; closure hazard peaks at 24 months; Seoul 한식 3-yr survival ~70%</t>
        </is>
      </c>
    </row>
    <row r="11">
      <c r="A11" s="3" t="inlineStr">
        <is>
          <t>S10</t>
        </is>
      </c>
      <c r="B11" s="3" t="inlineStr">
        <is>
          <t>강남구 프랜차이즈 매출 성공 예측</t>
        </is>
      </c>
      <c r="C11" s="3" t="inlineStr">
        <is>
          <t>안예린 외 (JCCT)</t>
        </is>
      </c>
      <c r="D11" s="3" t="inlineStr">
        <is>
          <t>2022</t>
        </is>
      </c>
      <c r="E11" s="3" t="inlineStr">
        <is>
          <t>https://koreascience.or.kr/article/JAKO202221737437258.pdf</t>
        </is>
      </c>
      <c r="F11" s="3" t="inlineStr">
        <is>
          <t>paper</t>
        </is>
      </c>
      <c r="G11" s="3" t="inlineStr">
        <is>
          <t>Peer-reviewed; revenue normalized by population; RF accuracy 0.92</t>
        </is>
      </c>
    </row>
    <row r="12">
      <c r="A12" s="3" t="inlineStr">
        <is>
          <t>S11</t>
        </is>
      </c>
      <c r="B12" s="3" t="inlineStr">
        <is>
          <t>서울 상권 매출 공간회귀</t>
        </is>
      </c>
      <c r="C12" s="3" t="inlineStr">
        <is>
          <t>이민주 외 (지역연구)</t>
        </is>
      </c>
      <c r="D12" s="3" t="inlineStr">
        <is>
          <t>2024</t>
        </is>
      </c>
      <c r="E12" s="3" t="inlineStr">
        <is>
          <t>https://koreascience.or.kr/article/JAKO202409378810072.pdf</t>
        </is>
      </c>
      <c r="F12" s="3" t="inlineStr">
        <is>
          <t>paper</t>
        </is>
      </c>
      <c r="G12" s="3" t="inlineStr">
        <is>
          <t>Peer-reviewed; unit = 상권 not store</t>
        </is>
      </c>
    </row>
    <row r="13">
      <c r="A13" s="3" t="inlineStr">
        <is>
          <t>S12</t>
        </is>
      </c>
      <c r="B13" s="3" t="inlineStr">
        <is>
          <t>상권분석서비스 추정매출-상권 (OA-15572 VwsmTrdarSelngQq)</t>
        </is>
      </c>
      <c r="C13" s="3" t="inlineStr">
        <is>
          <t>서울특별시 / 서울신용보증재단</t>
        </is>
      </c>
      <c r="D13" s="3" t="inlineStr">
        <is>
          <t>2026</t>
        </is>
      </c>
      <c r="E13" s="3" t="inlineStr">
        <is>
          <t>https://data.seoul.go.kr/dataList/OA-15572/S/1/datasetView.do</t>
        </is>
      </c>
      <c r="F13" s="3" t="inlineStr">
        <is>
          <t>public_data</t>
        </is>
      </c>
      <c r="G13" s="3" t="inlineStr">
        <is>
          <t>Card-based estimate at 상권 x 한식 (CS100001) level; no pork code; 당월_매출_금액 is a quarterly total; 대학로 2025 한식 ₩590.9억 measured live 2026-09-30</t>
        </is>
      </c>
    </row>
    <row r="14">
      <c r="A14" s="3" t="inlineStr">
        <is>
          <t>S13</t>
        </is>
      </c>
      <c r="B14" s="3" t="inlineStr">
        <is>
          <t>상권분석서비스 점포-상권 (OA-15577 VwsmTrdarStorQq)</t>
        </is>
      </c>
      <c r="C14" s="3" t="inlineStr">
        <is>
          <t>서울특별시 / 서울신용보증재단</t>
        </is>
      </c>
      <c r="D14" s="3" t="inlineStr">
        <is>
          <t>2026</t>
        </is>
      </c>
      <c r="E14" s="3" t="inlineStr">
        <is>
          <t>https://data.seoul.go.kr/dataList/OA-15577/S/1/datasetView.do</t>
        </is>
      </c>
      <c r="F14" s="3" t="inlineStr">
        <is>
          <t>public_data</t>
        </is>
      </c>
      <c r="G14" s="3" t="inlineStr">
        <is>
          <t>Store counts incl. franchise and open/close; 대학로 한식 191 (31 franchise) 2025Q4</t>
        </is>
      </c>
    </row>
    <row r="15">
      <c r="A15" s="3" t="inlineStr">
        <is>
          <t>S14</t>
        </is>
      </c>
      <c r="B15" s="3" t="inlineStr">
        <is>
          <t>상권분석서비스 길단위인구-상권 (OA-15568)</t>
        </is>
      </c>
      <c r="C15" s="3" t="inlineStr">
        <is>
          <t>서울특별시 / 서울신용보증재단</t>
        </is>
      </c>
      <c r="D15" s="3" t="inlineStr">
        <is>
          <t>2026</t>
        </is>
      </c>
      <c r="E15" s="3" t="inlineStr">
        <is>
          <t>https://data.seoul.go.kr/dataList/OA-15568/S/1/datasetView.do</t>
        </is>
      </c>
      <c r="F15" s="3" t="inlineStr">
        <is>
          <t>public_data</t>
        </is>
      </c>
      <c r="G15" s="3" t="inlineStr">
        <is>
          <t>Foot traffic by age / time band / 요일; quarterly rows</t>
        </is>
      </c>
    </row>
    <row r="16">
      <c r="A16" s="3" t="inlineStr">
        <is>
          <t>S15</t>
        </is>
      </c>
      <c r="B16" s="3" t="inlineStr">
        <is>
          <t>상권분석서비스 상주인구-상권 (OA-15584)</t>
        </is>
      </c>
      <c r="C16" s="3" t="inlineStr">
        <is>
          <t>서울특별시 / 서울신용보증재단</t>
        </is>
      </c>
      <c r="D16" s="3" t="inlineStr">
        <is>
          <t>2026</t>
        </is>
      </c>
      <c r="E16" s="3" t="inlineStr">
        <is>
          <t>https://data.seoul.go.kr/dataList/OA-15584/S/1/datasetView.do</t>
        </is>
      </c>
      <c r="F16" s="3" t="inlineStr">
        <is>
          <t>public_data</t>
        </is>
      </c>
      <c r="G16" s="3" t="inlineStr">
        <is>
          <t>Resident population; Q4 value repeats in next Q1-Q3</t>
        </is>
      </c>
    </row>
    <row r="17">
      <c r="A17" s="3" t="inlineStr">
        <is>
          <t>S16</t>
        </is>
      </c>
      <c r="B17" s="3" t="inlineStr">
        <is>
          <t>상권분석서비스 직장인구-상권 (OA-15569)</t>
        </is>
      </c>
      <c r="C17" s="3" t="inlineStr">
        <is>
          <t>서울특별시 / 서울신용보증재단</t>
        </is>
      </c>
      <c r="D17" s="3" t="inlineStr">
        <is>
          <t>2026</t>
        </is>
      </c>
      <c r="E17" s="3" t="inlineStr">
        <is>
          <t>https://data.seoul.go.kr/dataList/OA-15569/S/1/datasetView.do</t>
        </is>
      </c>
      <c r="F17" s="3" t="inlineStr">
        <is>
          <t>public_data</t>
        </is>
      </c>
      <c r="G17" s="3" t="inlineStr">
        <is>
          <t>Worker population; Q4 value repeats in next Q1-Q3</t>
        </is>
      </c>
    </row>
    <row r="18">
      <c r="A18" s="3" t="inlineStr">
        <is>
          <t>S17</t>
        </is>
      </c>
      <c r="B18" s="3" t="inlineStr">
        <is>
          <t>상권분석서비스 집객시설-상권 (OA-15580)</t>
        </is>
      </c>
      <c r="C18" s="3" t="inlineStr">
        <is>
          <t>서울특별시 / 서울신용보증재단</t>
        </is>
      </c>
      <c r="D18" s="3" t="inlineStr">
        <is>
          <t>2026</t>
        </is>
      </c>
      <c r="E18" s="3" t="inlineStr">
        <is>
          <t>https://data.seoul.go.kr/dataList/OA-15580/S/1/datasetView.do</t>
        </is>
      </c>
      <c r="F18" s="3" t="inlineStr">
        <is>
          <t>public_data</t>
        </is>
      </c>
      <c r="G18" s="3" t="inlineStr">
        <is>
          <t>Universities / subway / bus / theaters counts; yearly</t>
        </is>
      </c>
    </row>
    <row r="19">
      <c r="A19" s="3" t="inlineStr">
        <is>
          <t>S18</t>
        </is>
      </c>
      <c r="B19" s="3" t="inlineStr">
        <is>
          <t>상권분석서비스 영역-상권 (OA-15560)</t>
        </is>
      </c>
      <c r="C19" s="3" t="inlineStr">
        <is>
          <t>서울특별시 / 서울신용보증재단</t>
        </is>
      </c>
      <c r="D19" s="3" t="inlineStr">
        <is>
          <t>2026</t>
        </is>
      </c>
      <c r="E19" s="3" t="inlineStr">
        <is>
          <t>https://data.seoul.go.kr/dataList/OA-15560/S/1/datasetView.do</t>
        </is>
      </c>
      <c r="F19" s="3" t="inlineStr">
        <is>
          <t>public_data</t>
        </is>
      </c>
      <c r="G19" s="3" t="inlineStr">
        <is>
          <t>상권 polygons EPSG:5181; used for point-in-polygon</t>
        </is>
      </c>
    </row>
    <row r="20">
      <c r="A20" s="3" t="inlineStr">
        <is>
          <t>S19</t>
        </is>
      </c>
      <c r="B20" s="3" t="inlineStr">
        <is>
          <t>상권분석서비스 상권변화지표-상권 (OA-15576)</t>
        </is>
      </c>
      <c r="C20" s="3" t="inlineStr">
        <is>
          <t>서울특별시 / 서울신용보증재단</t>
        </is>
      </c>
      <c r="D20" s="3" t="inlineStr">
        <is>
          <t>2026</t>
        </is>
      </c>
      <c r="E20" s="3" t="inlineStr">
        <is>
          <t>https://data.seoul.go.kr/dataList/OA-15576/S/1/datasetView.do</t>
        </is>
      </c>
      <c r="F20" s="3" t="inlineStr">
        <is>
          <t>public_data</t>
        </is>
      </c>
      <c r="G20" s="3" t="inlineStr">
        <is>
          <t>Change index; average months open / to closure</t>
        </is>
      </c>
    </row>
    <row r="21">
      <c r="A21" s="3" t="inlineStr">
        <is>
          <t>S20</t>
        </is>
      </c>
      <c r="B21" s="3" t="inlineStr">
        <is>
          <t>소상공인시장진흥공단 상가(상권)정보 (15083033)</t>
        </is>
      </c>
      <c r="C21" s="3" t="inlineStr">
        <is>
          <t>소상공인시장진흥공단</t>
        </is>
      </c>
      <c r="D21" s="3" t="inlineStr">
        <is>
          <t>2026</t>
        </is>
      </c>
      <c r="E21" s="3" t="inlineStr">
        <is>
          <t>https://www.data.go.kr/data/15083033/fileData.do</t>
        </is>
      </c>
      <c r="F21" s="3" t="inlineStr">
        <is>
          <t>public_data</t>
        </is>
      </c>
      <c r="G21" s="3" t="inlineStr">
        <is>
          <t>Open stores snapshot (20260630 file); I20107 돼지고기 구이/찜; 지점명 = franchise hint; 27 I20107 in 3120012</t>
        </is>
      </c>
    </row>
    <row r="22">
      <c r="A22" s="3" t="inlineStr">
        <is>
          <t>S21</t>
        </is>
      </c>
      <c r="B22" s="3" t="inlineStr">
        <is>
          <t>서울시 일반음식점 인허가 정보 (OA-16094 LOCALDATA_072404)</t>
        </is>
      </c>
      <c r="C22" s="3" t="inlineStr">
        <is>
          <t>서울특별시</t>
        </is>
      </c>
      <c r="D22" s="3" t="inlineStr">
        <is>
          <t>2026</t>
        </is>
      </c>
      <c r="E22" s="3" t="inlineStr">
        <is>
          <t>https://data.seoul.go.kr/dataList/OA-16094/S/1/datasetView.do</t>
        </is>
      </c>
      <c r="F22" s="3" t="inlineStr">
        <is>
          <t>public_data</t>
        </is>
      </c>
      <c r="G22" s="3" t="inlineStr">
        <is>
          <t>Open + closed licenses; 인허가일자 / 폐업일자 = survival label; 소재지면적 ㎡; 폐업 may be relocation or 양도</t>
        </is>
      </c>
    </row>
    <row r="23">
      <c r="A23" s="3" t="inlineStr">
        <is>
          <t>S22</t>
        </is>
      </c>
      <c r="B23" s="3" t="inlineStr">
        <is>
          <t>행정안전부 일반음식점 인허가 API (15154916)</t>
        </is>
      </c>
      <c r="C23" s="3" t="inlineStr">
        <is>
          <t>행정안전부 (data.go.kr)</t>
        </is>
      </c>
      <c r="D23" s="3" t="inlineStr">
        <is>
          <t>2026</t>
        </is>
      </c>
      <c r="E23" s="3" t="inlineStr">
        <is>
          <t>https://www.data.go.kr/data/15154916/openapi.do</t>
        </is>
      </c>
      <c r="F23" s="3" t="inlineStr">
        <is>
          <t>public_data</t>
        </is>
      </c>
      <c r="G23" s="3" t="inlineStr">
        <is>
          <t>LOCALDATA replacement; field list not confirmed without key</t>
        </is>
      </c>
    </row>
    <row r="24">
      <c r="A24" s="3" t="inlineStr">
        <is>
          <t>S23</t>
        </is>
      </c>
      <c r="B24" s="3" t="inlineStr">
        <is>
          <t>참가격 외식비 삼겹살 200g 서울 ₩21321 (2026-06)</t>
        </is>
      </c>
      <c r="C24" s="3" t="inlineStr">
        <is>
          <t>세계일보</t>
        </is>
      </c>
      <c r="D24" s="3" t="inlineStr">
        <is>
          <t>2026</t>
        </is>
      </c>
      <c r="E24" s="3" t="inlineStr">
        <is>
          <t>https://www.segye.com/newsView/20260801501857</t>
        </is>
      </c>
      <c r="F24" s="3" t="inlineStr">
        <is>
          <t>news</t>
        </is>
      </c>
      <c r="G24" s="3" t="inlineStr">
        <is>
          <t>Secondhand report of 참가격 (price.go.kr blocked); verified figure per proposal</t>
        </is>
      </c>
    </row>
    <row r="25">
      <c r="A25" s="3" t="inlineStr">
        <is>
          <t>S24</t>
        </is>
      </c>
      <c r="B25" s="3" t="inlineStr">
        <is>
          <t>참가격 외식비 삼겹살 서울 ₩21056 (2026-01)</t>
        </is>
      </c>
      <c r="C25" s="3" t="inlineStr">
        <is>
          <t>아시아경제</t>
        </is>
      </c>
      <c r="D25" s="3" t="inlineStr">
        <is>
          <t>2026</t>
        </is>
      </c>
      <c r="E25" s="3" t="inlineStr">
        <is>
          <t>https://view.asiae.co.kr/article/2026072014394339053</t>
        </is>
      </c>
      <c r="F25" s="3" t="inlineStr">
        <is>
          <t>news</t>
        </is>
      </c>
      <c r="G25" s="3" t="inlineStr">
        <is>
          <t>Secondhand report of 참가격</t>
        </is>
      </c>
    </row>
    <row r="26">
      <c r="A26" s="3" t="inlineStr">
        <is>
          <t>S25</t>
        </is>
      </c>
      <c r="B26" s="3" t="inlineStr">
        <is>
          <t>마포 골목 삼겹살 ~₩17000 / 소주 ₩4000-6000</t>
        </is>
      </c>
      <c r="C26" s="3" t="inlineStr">
        <is>
          <t>헤럴드경제</t>
        </is>
      </c>
      <c r="D26" s="3" t="inlineStr">
        <is>
          <t>2026</t>
        </is>
      </c>
      <c r="E26" s="3" t="inlineStr">
        <is>
          <t>https://www.heraldk.com/article/2026030317453827657</t>
        </is>
      </c>
      <c r="F26" s="3" t="inlineStr">
        <is>
          <t>news</t>
        </is>
      </c>
      <c r="G26" s="3" t="inlineStr">
        <is>
          <t>Anecdotal store prices; 마포 not 대학로</t>
        </is>
      </c>
    </row>
    <row r="27">
      <c r="A27" s="3" t="inlineStr">
        <is>
          <t>S26</t>
        </is>
      </c>
      <c r="B27" s="3" t="inlineStr">
        <is>
          <t>강남 소주 ₩7000-8000</t>
        </is>
      </c>
      <c r="C27" s="3" t="inlineStr">
        <is>
          <t>데일리안</t>
        </is>
      </c>
      <c r="D27" s="3" t="inlineStr">
        <is>
          <t>2023</t>
        </is>
      </c>
      <c r="E27" s="3" t="inlineStr">
        <is>
          <t>https://www.dailian.co.kr/news/view/1203849/</t>
        </is>
      </c>
      <c r="F27" s="3" t="inlineStr">
        <is>
          <t>news</t>
        </is>
      </c>
      <c r="G27" s="3" t="inlineStr">
        <is>
          <t>Dated (2023); 강남 premium</t>
        </is>
      </c>
    </row>
    <row r="28">
      <c r="A28" s="3" t="inlineStr">
        <is>
          <t>S27</t>
        </is>
      </c>
      <c r="B28" s="3" t="inlineStr">
        <is>
          <t>식당 소주 마진 ₩4400 at ₩6000</t>
        </is>
      </c>
      <c r="C28" s="3" t="inlineStr">
        <is>
          <t>머니투데이</t>
        </is>
      </c>
      <c r="D28" s="3" t="inlineStr">
        <is>
          <t>2023</t>
        </is>
      </c>
      <c r="E28" s="3" t="inlineStr">
        <is>
          <t>https://www.mt.co.kr/living/2023/02/24/2023022323513823951</t>
        </is>
      </c>
      <c r="F28" s="3" t="inlineStr">
        <is>
          <t>news</t>
        </is>
      </c>
      <c r="G28" s="3" t="inlineStr">
        <is>
          <t>Dated (2023); implies cost ~₩1600 per bottle</t>
        </is>
      </c>
    </row>
    <row r="29">
      <c r="A29" s="3" t="inlineStr">
        <is>
          <t>S28</t>
        </is>
      </c>
      <c r="B29" s="3" t="inlineStr">
        <is>
          <t>삼겹살 2인분 + 소주 = ₩50000+</t>
        </is>
      </c>
      <c r="C29" s="3" t="inlineStr">
        <is>
          <t>쿠키뉴스</t>
        </is>
      </c>
      <c r="D29" s="3" t="inlineStr">
        <is>
          <t>2024</t>
        </is>
      </c>
      <c r="E29" s="3" t="inlineStr">
        <is>
          <t>https://www.kukinews.com/article/view/kuk202408160146</t>
        </is>
      </c>
      <c r="F29" s="3" t="inlineStr">
        <is>
          <t>news</t>
        </is>
      </c>
      <c r="G29" s="3" t="inlineStr">
        <is>
          <t>Anecdotal floor for 객단가</t>
        </is>
      </c>
    </row>
    <row r="30">
      <c r="A30" s="3" t="inlineStr">
        <is>
          <t>S29</t>
        </is>
      </c>
      <c r="B30" s="3" t="inlineStr">
        <is>
          <t>외식 평균 객단가 ₩14310 / 2024 외식업 매출</t>
        </is>
      </c>
      <c r="C30" s="3" t="inlineStr">
        <is>
          <t>뉴시스</t>
        </is>
      </c>
      <c r="D30" s="3" t="inlineStr">
        <is>
          <t>2026</t>
        </is>
      </c>
      <c r="E30" s="3" t="inlineStr">
        <is>
          <t>https://www.newsis.com/view/NISX20260328_0003567838</t>
        </is>
      </c>
      <c r="F30" s="3" t="inlineStr">
        <is>
          <t>news</t>
        </is>
      </c>
      <c r="G30" s="3" t="inlineStr">
        <is>
          <t>All-외식 averages; not comparable to BBQ ticket</t>
        </is>
      </c>
    </row>
    <row r="31">
      <c r="A31" s="3" t="inlineStr">
        <is>
          <t>S30</t>
        </is>
      </c>
      <c r="B31" s="3" t="inlineStr">
        <is>
          <t>고기집 수익률 계산법 (65/20/15 매출 구조; 3회전+)</t>
        </is>
      </c>
      <c r="C31" s="3" t="inlineStr">
        <is>
          <t>moneycat.wandererkator.com (anonymous blog)</t>
        </is>
      </c>
      <c r="D31" s="3" t="inlineStr"/>
      <c r="E31" s="3" t="inlineStr">
        <is>
          <t>https://moneycat.wandererkator.com/entry/%EA%B3%A0%EA%B8%B0%EC%A7%91-%EC%88%98%EC%9D%B5%EB%A5%A0-%EA%B3%84%EC%82%B0%EB%B2%95%EA%B3%BC-%EB%A7%A4%EC%B6%9C-%EA%B5%AC%EC%A1%B0-%EC%99%84%EB%B2%BD-%EC%A0%95%EB%A6%AC</t>
        </is>
      </c>
      <c r="F31" s="3" t="inlineStr">
        <is>
          <t>blog</t>
        </is>
      </c>
      <c r="G31" s="3" t="inlineStr">
        <is>
          <t>UNVERIFIED anonymous blog; only published meat/alcohol/meal split found; use as weak prior only</t>
        </is>
      </c>
    </row>
    <row r="32">
      <c r="A32" s="3" t="inlineStr">
        <is>
          <t>S31</t>
        </is>
      </c>
      <c r="B32" s="3" t="inlineStr">
        <is>
          <t>외식업 경영실태 (한식 육류요리전문점 / 육류구이) C2020_77-6</t>
        </is>
      </c>
      <c r="C32" s="3" t="inlineStr">
        <is>
          <t>KREI / 서울대 for 농식품부</t>
        </is>
      </c>
      <c r="D32" s="3" t="inlineStr">
        <is>
          <t>2020</t>
        </is>
      </c>
      <c r="E32" s="3" t="inlineStr">
        <is>
          <t>https://repository.krei.re.kr/bitstream/2018.oak/26686/1/C2020_77-6.pdf</t>
        </is>
      </c>
      <c r="F32" s="3" t="inlineStr">
        <is>
          <t>report</t>
        </is>
      </c>
      <c r="G32" s="3" t="inlineStr">
        <is>
          <t>2018 data; nationwide; cost shares of operating cost (식재료 41.0 / 인건비 34.2 / 임차 9.3) converted to revenue; OP 9.4% after imputed owner wage; 3.2 staff</t>
        </is>
      </c>
    </row>
    <row r="33">
      <c r="A33" s="3" t="inlineStr">
        <is>
          <t>S32</t>
        </is>
      </c>
      <c r="B33" s="3" t="inlineStr">
        <is>
          <t>KREI 외식업 경영실태 리플릿 2403</t>
        </is>
      </c>
      <c r="C33" s="3" t="inlineStr">
        <is>
          <t>KREI</t>
        </is>
      </c>
      <c r="D33" s="3" t="inlineStr">
        <is>
          <t>2024</t>
        </is>
      </c>
      <c r="E33" s="3" t="inlineStr">
        <is>
          <t>https://www.krei.re.kr/namo/binary/files/000025/2403_Leflet_4.pdf</t>
        </is>
      </c>
      <c r="F33" s="3" t="inlineStr">
        <is>
          <t>report</t>
        </is>
      </c>
      <c r="G33" s="3" t="inlineStr">
        <is>
          <t>2022 all-외식: 인건비 33.2% of cost (대표자 14.9 / 고용인 14.8 / 가족 3.5); 임차 9.6%; avg deposit ₩3301만</t>
        </is>
      </c>
    </row>
    <row r="34">
      <c r="A34" s="3" t="inlineStr">
        <is>
          <t>S33</t>
        </is>
      </c>
      <c r="B34" s="3" t="inlineStr">
        <is>
          <t>외식업체 경영실태조사 (2024 data)</t>
        </is>
      </c>
      <c r="C34" s="3" t="inlineStr">
        <is>
          <t>농림축산식품부</t>
        </is>
      </c>
      <c r="D34" s="3" t="inlineStr"/>
      <c r="E34" s="3" t="inlineStr">
        <is>
          <t>https://www.mafra.go.kr/bbs/home/792/577439/artclView.do</t>
        </is>
      </c>
      <c r="F34" s="3" t="inlineStr">
        <is>
          <t>report</t>
        </is>
      </c>
      <c r="G34" s="3" t="inlineStr">
        <is>
          <t>Press/summary level; all-외식 revenue ₩2.553억 (한식 ₩2.911억; non-franchise ₩2.3억); OP 8.7%; publication year not stated in research file</t>
        </is>
      </c>
    </row>
    <row r="35">
      <c r="A35" s="3" t="inlineStr">
        <is>
          <t>S34</t>
        </is>
      </c>
      <c r="B35" s="3" t="inlineStr">
        <is>
          <t>30평 삼겹살 프랜차이즈 사례 (15테이블 60석)</t>
        </is>
      </c>
      <c r="C35" s="3" t="inlineStr">
        <is>
          <t>한경비즈니스</t>
        </is>
      </c>
      <c r="D35" s="3" t="inlineStr">
        <is>
          <t>2021</t>
        </is>
      </c>
      <c r="E35" s="3" t="inlineStr">
        <is>
          <t>https://magazine.hankyung.com/business/article/202103043150b</t>
        </is>
      </c>
      <c r="F35" s="3" t="inlineStr">
        <is>
          <t>news</t>
        </is>
      </c>
      <c r="G35" s="3" t="inlineStr">
        <is>
          <t>Single franchise case in 미금 (성남) not Seoul; ~₩3000만/월</t>
        </is>
      </c>
    </row>
    <row r="36">
      <c r="A36" s="3" t="inlineStr">
        <is>
          <t>S35</t>
        </is>
      </c>
      <c r="B36" s="3" t="inlineStr">
        <is>
          <t>저녁 영업 삼겹살집 / 상위권 매장 매출</t>
        </is>
      </c>
      <c r="C36" s="3" t="inlineStr">
        <is>
          <t>머니투데이</t>
        </is>
      </c>
      <c r="D36" s="3" t="inlineStr">
        <is>
          <t>2022</t>
        </is>
      </c>
      <c r="E36" s="3" t="inlineStr">
        <is>
          <t>https://www.mt.co.kr/culture/2022/09/01/2022090109505555998</t>
        </is>
      </c>
      <c r="F36" s="3" t="inlineStr">
        <is>
          <t>news</t>
        </is>
      </c>
      <c r="G36" s="3" t="inlineStr">
        <is>
          <t>Anecdotal; evening-only 6h store; top-tier ₩9000만-1억 outliers</t>
        </is>
      </c>
    </row>
    <row r="37">
      <c r="A37" s="3" t="inlineStr">
        <is>
          <t>S36</t>
        </is>
      </c>
      <c r="B37" s="3" t="inlineStr">
        <is>
          <t>2026 최저임금 ₩10320 (월 209h ₩2156880)</t>
        </is>
      </c>
      <c r="C37" s="3" t="inlineStr">
        <is>
          <t>bizforms 365guide</t>
        </is>
      </c>
      <c r="D37" s="3" t="inlineStr">
        <is>
          <t>2026</t>
        </is>
      </c>
      <c r="E37" s="3" t="inlineStr">
        <is>
          <t>https://www.bizforms.co.kr/365guide/view.asp?number=162</t>
        </is>
      </c>
      <c r="F37" s="3" t="inlineStr">
        <is>
          <t>blog</t>
        </is>
      </c>
      <c r="G37" s="3" t="inlineStr">
        <is>
          <t>Statutory figure restated by a forms site; value matches the 2026 minimum wage decision</t>
        </is>
      </c>
    </row>
    <row r="38">
      <c r="A38" s="3" t="inlineStr">
        <is>
          <t>S37</t>
        </is>
      </c>
      <c r="B38" s="3" t="inlineStr">
        <is>
          <t>프랜차이즈 고깃집 고매출 저이익 사례</t>
        </is>
      </c>
      <c r="C38" s="3" t="inlineStr">
        <is>
          <t>아시아경제</t>
        </is>
      </c>
      <c r="D38" s="3" t="inlineStr">
        <is>
          <t>2025</t>
        </is>
      </c>
      <c r="E38" s="3" t="inlineStr">
        <is>
          <t>https://www.asiae.co.kr/visual-news/article/2025101015353443475</t>
        </is>
      </c>
      <c r="F38" s="3" t="inlineStr">
        <is>
          <t>news</t>
        </is>
      </c>
      <c r="G38" s="3" t="inlineStr">
        <is>
          <t>Anecdotal outlier (~₩1억 revenue netting ~0)</t>
        </is>
      </c>
    </row>
    <row r="39">
      <c r="A39" s="3" t="inlineStr">
        <is>
          <t>S38</t>
        </is>
      </c>
      <c r="B39" s="3" t="inlineStr">
        <is>
          <t>한식음식점 5년 생존율 34% (국세청 2023)</t>
        </is>
      </c>
      <c r="C39" s="3" t="inlineStr">
        <is>
          <t>택스워치</t>
        </is>
      </c>
      <c r="D39" s="3" t="inlineStr">
        <is>
          <t>2025</t>
        </is>
      </c>
      <c r="E39" s="3" t="inlineStr">
        <is>
          <t>https://www.taxwatch.co.kr/article/tax/2025/08/13/0002</t>
        </is>
      </c>
      <c r="F39" s="3" t="inlineStr">
        <is>
          <t>news</t>
        </is>
      </c>
      <c r="G39" s="3" t="inlineStr">
        <is>
          <t>사업자 폐업 basis (differs from 인허가 basis)</t>
        </is>
      </c>
    </row>
    <row r="40">
      <c r="A40" s="3" t="inlineStr">
        <is>
          <t>S39</t>
        </is>
      </c>
      <c r="B40" s="3" t="inlineStr">
        <is>
          <t>100대 생활업종 생존율 (3년 53.8% / 5년 39.6%)</t>
        </is>
      </c>
      <c r="C40" s="3" t="inlineStr">
        <is>
          <t>한국경제</t>
        </is>
      </c>
      <c r="D40" s="3" t="inlineStr">
        <is>
          <t>2025</t>
        </is>
      </c>
      <c r="E40" s="3" t="inlineStr">
        <is>
          <t>https://www.hankyung.com/article/2025043073077</t>
        </is>
      </c>
      <c r="F40" s="3" t="inlineStr">
        <is>
          <t>news</t>
        </is>
      </c>
      <c r="G40" s="3" t="inlineStr">
        <is>
          <t>National all-업종 average</t>
        </is>
      </c>
    </row>
    <row r="41">
      <c r="A41" s="3" t="inlineStr">
        <is>
          <t>S40</t>
        </is>
      </c>
      <c r="B41" s="3" t="inlineStr">
        <is>
          <t>외식업 폐업률 2023 (서울 18.99%; 핀다 오픈업)</t>
        </is>
      </c>
      <c r="C41" s="3" t="inlineStr">
        <is>
          <t>한경비즈니스</t>
        </is>
      </c>
      <c r="D41" s="3" t="inlineStr">
        <is>
          <t>2024</t>
        </is>
      </c>
      <c r="E41" s="3" t="inlineStr">
        <is>
          <t>https://magazine.hankyung.com/business/article/202404281767b</t>
        </is>
      </c>
      <c r="F41" s="3" t="inlineStr">
        <is>
          <t>news</t>
        </is>
      </c>
      <c r="G41" s="3" t="inlineStr">
        <is>
          <t>Private data vendor estimate</t>
        </is>
      </c>
    </row>
    <row r="42">
      <c r="A42" s="3" t="inlineStr">
        <is>
          <t>S41</t>
        </is>
      </c>
      <c r="B42" s="3" t="inlineStr">
        <is>
          <t>서울 2025 1분기 개업 8772 / 폐업 14988</t>
        </is>
      </c>
      <c r="C42" s="3" t="inlineStr">
        <is>
          <t>한국경제</t>
        </is>
      </c>
      <c r="D42" s="3" t="inlineStr">
        <is>
          <t>2025</t>
        </is>
      </c>
      <c r="E42" s="3" t="inlineStr">
        <is>
          <t>https://www.hankyung.com/article/2025060190501</t>
        </is>
      </c>
      <c r="F42" s="3" t="inlineStr">
        <is>
          <t>news</t>
        </is>
      </c>
      <c r="G42" s="3" t="inlineStr">
        <is>
          <t>Category scope unclear in the article</t>
        </is>
      </c>
    </row>
    <row r="43">
      <c r="A43" s="3" t="inlineStr">
        <is>
          <t>S42</t>
        </is>
      </c>
      <c r="B43" s="3" t="inlineStr">
        <is>
          <t>2024 소상공인실태조사 발표</t>
        </is>
      </c>
      <c r="C43" s="3" t="inlineStr">
        <is>
          <t>파이낸셜뉴스</t>
        </is>
      </c>
      <c r="D43" s="3" t="inlineStr">
        <is>
          <t>2026</t>
        </is>
      </c>
      <c r="E43" s="3" t="inlineStr">
        <is>
          <t>https://www.fnnews.com/news/202603130840507888</t>
        </is>
      </c>
      <c r="F43" s="3" t="inlineStr">
        <is>
          <t>news</t>
        </is>
      </c>
      <c r="G43" s="3" t="inlineStr">
        <is>
          <t>2024 survey dropped revenue/cost items; sector totals only</t>
        </is>
      </c>
    </row>
    <row r="44">
      <c r="A44" s="3" t="inlineStr">
        <is>
          <t>S43</t>
        </is>
      </c>
      <c r="B44" s="3" t="inlineStr">
        <is>
          <t>LOCALDATA 인허가 데이터 data.go.kr 이관</t>
        </is>
      </c>
      <c r="C44" s="3" t="inlineStr">
        <is>
          <t>경향신문</t>
        </is>
      </c>
      <c r="D44" s="3" t="inlineStr">
        <is>
          <t>2026</t>
        </is>
      </c>
      <c r="E44" s="3" t="inlineStr">
        <is>
          <t>https://www.khan.co.kr/article/202601251400011/</t>
        </is>
      </c>
      <c r="F44" s="3" t="inlineStr">
        <is>
          <t>news</t>
        </is>
      </c>
      <c r="G44" s="3" t="inlineStr">
        <is>
          <t>Context for data access only</t>
        </is>
      </c>
    </row>
    <row r="45">
      <c r="A45" s="3" t="inlineStr">
        <is>
          <t>S44</t>
        </is>
      </c>
      <c r="B45" s="3" t="inlineStr">
        <is>
          <t>우리마을가게 상권분석서비스</t>
        </is>
      </c>
      <c r="C45" s="3" t="inlineStr">
        <is>
          <t>서울특별시</t>
        </is>
      </c>
      <c r="D45" s="3" t="inlineStr">
        <is>
          <t>2026</t>
        </is>
      </c>
      <c r="E45" s="3" t="inlineStr">
        <is>
          <t>https://golmok.seoul.go.kr/</t>
        </is>
      </c>
      <c r="F45" s="3" t="inlineStr">
        <is>
          <t>public_data</t>
        </is>
      </c>
      <c r="G45" s="3" t="inlineStr">
        <is>
          <t>Front end of S12-S19; no new data</t>
        </is>
      </c>
    </row>
    <row r="46">
      <c r="A46" s="3" t="inlineStr">
        <is>
          <t>S45</t>
        </is>
      </c>
      <c r="B46" s="3" t="inlineStr">
        <is>
          <t>소상공인365 빅데이터</t>
        </is>
      </c>
      <c r="C46" s="3" t="inlineStr">
        <is>
          <t>소상공인시장진흥공단</t>
        </is>
      </c>
      <c r="D46" s="3" t="inlineStr">
        <is>
          <t>2026</t>
        </is>
      </c>
      <c r="E46" s="3" t="inlineStr">
        <is>
          <t>https://bigdata.sbiz.or.kr/</t>
        </is>
      </c>
      <c r="F46" s="3" t="inlineStr">
        <is>
          <t>public_data</t>
        </is>
      </c>
      <c r="G46" s="3" t="inlineStr">
        <is>
          <t>Web reports on S20; cross-check only</t>
        </is>
      </c>
    </row>
    <row r="47">
      <c r="A47" s="3" t="inlineStr">
        <is>
          <t>S46</t>
        </is>
      </c>
      <c r="B47" s="3" t="inlineStr">
        <is>
          <t>상권분석서비스 소비-상권 (OA-21278)</t>
        </is>
      </c>
      <c r="C47" s="3" t="inlineStr">
        <is>
          <t>서울특별시 / 서울신용보증재단</t>
        </is>
      </c>
      <c r="D47" s="3" t="inlineStr">
        <is>
          <t>2026</t>
        </is>
      </c>
      <c r="E47" s="3" t="inlineStr">
        <is>
          <t>https://data.seoul.go.kr/dataList/OA-21278/S/1/datasetView.do</t>
        </is>
      </c>
      <c r="F47" s="3" t="inlineStr">
        <is>
          <t>public_data</t>
        </is>
      </c>
      <c r="G47" s="3" t="inlineStr">
        <is>
          <t>Spending totals only; income fields removed 2026-05-13; no longer updated</t>
        </is>
      </c>
    </row>
    <row r="48">
      <c r="A48" s="3" t="inlineStr">
        <is>
          <t>S47</t>
        </is>
      </c>
      <c r="B48" s="3" t="inlineStr">
        <is>
          <t>Restaurant RevPASH explainer</t>
        </is>
      </c>
      <c r="C48" s="3" t="inlineStr">
        <is>
          <t>SevenRooms blog</t>
        </is>
      </c>
      <c r="D48" s="3" t="inlineStr"/>
      <c r="E48" s="3" t="inlineStr">
        <is>
          <t>https://sevenrooms.com/blog/restaurant-revpash/</t>
        </is>
      </c>
      <c r="F48" s="3" t="inlineStr">
        <is>
          <t>blog</t>
        </is>
      </c>
      <c r="G48" s="3" t="inlineStr">
        <is>
          <t>Vendor blog; the RevPASH formula actually used came from this summary</t>
        </is>
      </c>
    </row>
    <row r="49">
      <c r="A49" s="3" t="inlineStr">
        <is>
          <t>S48</t>
        </is>
      </c>
      <c r="B49" s="3" t="inlineStr">
        <is>
          <t>지난해 돈가 예측 왜 크게 빗나갔나? (지육 2024 평균 5,239 / 2025 평균 5,763원/kg)</t>
        </is>
      </c>
      <c r="C49" s="3" t="inlineStr">
        <is>
          <t>양돈타임스 (pigpeople.net)</t>
        </is>
      </c>
      <c r="D49" s="3" t="inlineStr">
        <is>
          <t>2026</t>
        </is>
      </c>
      <c r="E49" s="3" t="inlineStr">
        <is>
          <t>https://pigpeople.net/news/article.html?no=18429</t>
        </is>
      </c>
      <c r="F49" s="3" t="inlineStr">
        <is>
          <t>news</t>
        </is>
      </c>
      <c r="G49" s="3" t="inlineStr">
        <is>
          <t>Trade press; 축산물품질평가원 basis as reported; 지육 not 삼겹</t>
        </is>
      </c>
    </row>
    <row r="50">
      <c r="A50" s="3" t="inlineStr">
        <is>
          <t>S49</t>
        </is>
      </c>
      <c r="B50" s="3" t="inlineStr">
        <is>
          <t>9월 돼지 도매가격 7개월 만에 하락 전환 (2025-09 6,499 / 08 6,602 / 2024-09 6,098)</t>
        </is>
      </c>
      <c r="C50" s="3" t="inlineStr">
        <is>
          <t>양돈타임스 (pigpeople.net)</t>
        </is>
      </c>
      <c r="D50" s="3" t="inlineStr">
        <is>
          <t>2025</t>
        </is>
      </c>
      <c r="E50" s="3" t="inlineStr">
        <is>
          <t>https://pigpeople.net/news/article.html?no=17903</t>
        </is>
      </c>
      <c r="F50" s="3" t="inlineStr">
        <is>
          <t>news</t>
        </is>
      </c>
      <c r="G50" s="3" t="inlineStr">
        <is>
          <t>Trade press; monthly 지육 averages</t>
        </is>
      </c>
    </row>
    <row r="51">
      <c r="A51" s="3" t="inlineStr">
        <is>
          <t>S50</t>
        </is>
      </c>
      <c r="B51" s="3" t="inlineStr">
        <is>
          <t>하반기 돼지 도매가격 전년 대비 3.9% 내외 하락 전망 (KREI 농업관측 6월호)</t>
        </is>
      </c>
      <c r="C51" s="3" t="inlineStr">
        <is>
          <t>양돈타임스 citing KREI</t>
        </is>
      </c>
      <c r="D51" s="3" t="inlineStr">
        <is>
          <t>2026</t>
        </is>
      </c>
      <c r="E51" s="3" t="inlineStr">
        <is>
          <t>https://www.pigpeople.net/mobile/article.html?no=19357</t>
        </is>
      </c>
      <c r="F51" s="3" t="inlineStr">
        <is>
          <t>news</t>
        </is>
      </c>
      <c r="G51" s="3" t="inlineStr">
        <is>
          <t>Forecast; 2025 forecasts missed by ~10%</t>
        </is>
      </c>
    </row>
    <row r="52">
      <c r="A52" s="3" t="inlineStr">
        <is>
          <t>S51</t>
        </is>
      </c>
      <c r="B52" s="3" t="inlineStr">
        <is>
          <t>추석 성수품 수급관리 (KAMIS 삼겹살 1인분 상차림 재료비 7,082 / 7,594원)</t>
        </is>
      </c>
      <c r="C52" s="3" t="inlineStr">
        <is>
          <t>농림축산식품부</t>
        </is>
      </c>
      <c r="D52" s="3" t="inlineStr">
        <is>
          <t>2026</t>
        </is>
      </c>
      <c r="E52" s="3" t="inlineStr">
        <is>
          <t>https://www.mafra.go.kr/bbs/home/793/578847/artclView.do</t>
        </is>
      </c>
      <c r="F52" s="3" t="inlineStr">
        <is>
          <t>report</t>
        </is>
      </c>
      <c r="G52" s="3" t="inlineStr">
        <is>
          <t>Government press release; retail basket, gram weight not stated</t>
        </is>
      </c>
    </row>
    <row r="53">
      <c r="A53" s="3" t="inlineStr">
        <is>
          <t>S52</t>
        </is>
      </c>
      <c r="B53" s="3" t="inlineStr">
        <is>
          <t>상업용부동산 임대동향조사 R-ONE open API (혜화동 CLS_ID 520059; T248223134698125 등)</t>
        </is>
      </c>
      <c r="C53" s="3" t="inlineStr">
        <is>
          <t>한국부동산원</t>
        </is>
      </c>
      <c r="D53" s="3" t="inlineStr">
        <is>
          <t>2026</t>
        </is>
      </c>
      <c r="E53" s="3" t="inlineStr">
        <is>
          <t>https://www.reb.or.kr/r-one/openapi/SttsApiTblData.do?STATBL_ID=T248223134698125&amp;DTACYCLE_CD=QY&amp;WRTTIME_IDTFR_ID=202602&amp;CLS_ID=520059&amp;Type=json</t>
        </is>
      </c>
      <c r="F53" s="3" t="inlineStr">
        <is>
          <t>public_data</t>
        </is>
      </c>
      <c r="G53" s="3" t="inlineStr">
        <is>
          <t>Official, this exact 상권; 소규모 상가 1층 ₩60,033/㎡/월 2026Q2 incl. deposit at 전환율 7.481%; ㎡ basis (전용/계약) unverified</t>
        </is>
      </c>
    </row>
    <row r="54">
      <c r="A54" s="3" t="inlineStr">
        <is>
          <t>S53</t>
        </is>
      </c>
      <c r="B54" s="3" t="inlineStr">
        <is>
          <t>상가는 1층 기준, 오피스는 3층 이상 기준 임대료 산정</t>
        </is>
      </c>
      <c r="C54" s="3" t="inlineStr">
        <is>
          <t>시대일보 (한국부동산원 설명)</t>
        </is>
      </c>
      <c r="D54" s="3" t="inlineStr">
        <is>
          <t>2023</t>
        </is>
      </c>
      <c r="E54" s="3" t="inlineStr">
        <is>
          <t>https://www.sidae.com/article/2023042617091572592</t>
        </is>
      </c>
      <c r="F54" s="3" t="inlineStr">
        <is>
          <t>news</t>
        </is>
      </c>
      <c r="G54" s="3" t="inlineStr">
        <is>
          <t>Explains that published 상가 rent is the 1층 rent</t>
        </is>
      </c>
    </row>
    <row r="55">
      <c r="A55" s="3" t="inlineStr">
        <is>
          <t>S54</t>
        </is>
      </c>
      <c r="B55" s="3" t="inlineStr">
        <is>
          <t>경기 침체에 전국 공실률 13.4% (2026Q2 임대동향)</t>
        </is>
      </c>
      <c r="C55" s="3" t="inlineStr">
        <is>
          <t>뉴시스</t>
        </is>
      </c>
      <c r="D55" s="3" t="inlineStr">
        <is>
          <t>2026</t>
        </is>
      </c>
      <c r="E55" s="3" t="inlineStr">
        <is>
          <t>https://mobile.newsis.com/view/NISX20260729_0003728100</t>
        </is>
      </c>
      <c r="F55" s="3" t="inlineStr">
        <is>
          <t>news</t>
        </is>
      </c>
      <c r="G55" s="3" t="inlineStr">
        <is>
          <t>National 소규모 상가 ₩20,600/㎡; consistent with S52</t>
        </is>
      </c>
    </row>
    <row r="56">
      <c r="A56" s="3" t="inlineStr">
        <is>
          <t>S55</t>
        </is>
      </c>
      <c r="B56" s="3" t="inlineStr">
        <is>
          <t>서울시 주요 상권 통상임대료 ㎡당 7만4900원 (2023 상가임대차 실태조사)</t>
        </is>
      </c>
      <c r="C56" s="3" t="inlineStr">
        <is>
          <t>뉴스핌</t>
        </is>
      </c>
      <c r="D56" s="3" t="inlineStr">
        <is>
          <t>2024</t>
        </is>
      </c>
      <c r="E56" s="3" t="inlineStr">
        <is>
          <t>https://www.newspim.com/news/view/20240306000198</t>
        </is>
      </c>
      <c r="F56" s="3" t="inlineStr">
        <is>
          <t>news</t>
        </is>
      </c>
      <c r="G56" s="3" t="inlineStr">
        <is>
          <t>Deposit ≈ 12.8× monthly rent in 2023 Seoul survey; supports the 10× deposit assumption</t>
        </is>
      </c>
    </row>
    <row r="57">
      <c r="A57" s="3" t="inlineStr">
        <is>
          <t>S56</t>
        </is>
      </c>
      <c r="B57" s="3" t="inlineStr">
        <is>
          <t>혜화역·대학로 상업용 부동산 시장 분석 (매물 호가)</t>
        </is>
      </c>
      <c r="C57" s="3" t="inlineStr">
        <is>
          <t>dbritz.kr forum (anonymous)</t>
        </is>
      </c>
      <c r="D57" s="3" t="inlineStr"/>
      <c r="E57" s="3" t="inlineStr">
        <is>
          <t>https://dbritz.kr/forum/?bmode=view&amp;idx=172165235</t>
        </is>
      </c>
      <c r="F57" s="3" t="inlineStr">
        <is>
          <t>blog</t>
        </is>
      </c>
      <c r="G57" s="3" t="inlineStr">
        <is>
          <t>UNVERIFIED, weak; asking prices only; possibly AI-written</t>
        </is>
      </c>
    </row>
    <row r="58">
      <c r="A58" s="3" t="inlineStr">
        <is>
          <t>S57</t>
        </is>
      </c>
      <c r="B58" s="3" t="inlineStr">
        <is>
          <t>상가건물 임대차보호법 시행령 제4조 (증액 5% 상한, 서울 환산보증금 9억)</t>
        </is>
      </c>
      <c r="C58" s="3" t="inlineStr">
        <is>
          <t>korea.legal (법령 미러)</t>
        </is>
      </c>
      <c r="D58" s="3" t="inlineStr"/>
      <c r="E58" s="3" t="inlineStr">
        <is>
          <t>https://korea.legal/wiki/상가건물-임대차보호법-시행령-제4조/</t>
        </is>
      </c>
      <c r="F58" s="3" t="inlineStr">
        <is>
          <t>report</t>
        </is>
      </c>
      <c r="G58" s="3" t="inlineStr">
        <is>
          <t>Statute text via mirror (search snippet, page not opened); the 5% cap is statutory</t>
        </is>
      </c>
    </row>
    <row r="59">
      <c r="A59" s="3" t="inlineStr">
        <is>
          <t>S58</t>
        </is>
      </c>
      <c r="B59" s="3" t="inlineStr">
        <is>
          <t>The impact of food prices on consumption: a systematic review of price elasticity (AJPH 100(2))</t>
        </is>
      </c>
      <c r="C59" s="3" t="inlineStr">
        <is>
          <t>Andreyeva, Long &amp; Brownell</t>
        </is>
      </c>
      <c r="D59" s="3" t="inlineStr">
        <is>
          <t>2010</t>
        </is>
      </c>
      <c r="E59" s="3" t="inlineStr">
        <is>
          <t>https://pmc.ncbi.nlm.nih.gov/articles/PMC2804646</t>
        </is>
      </c>
      <c r="F59" s="3" t="inlineStr">
        <is>
          <t>paper</t>
        </is>
      </c>
      <c r="G59" s="3" t="inlineStr">
        <is>
          <t>Peer-reviewed meta-analysis; food away from home −0.81 (CI −0.56 to −1.07); US, category level</t>
        </is>
      </c>
    </row>
    <row r="60">
      <c r="A60" s="3" t="inlineStr">
        <is>
          <t>S59</t>
        </is>
      </c>
      <c r="B60" s="3" t="inlineStr">
        <is>
          <t>품목·분위별 식생활 관련 가계 소비지출 결정요인 분석 (농촌경제 49(2))</t>
        </is>
      </c>
      <c r="C60" s="3" t="inlineStr">
        <is>
          <t>곽대영·김종진 (KREI)</t>
        </is>
      </c>
      <c r="D60" s="3" t="inlineStr">
        <is>
          <t>2026</t>
        </is>
      </c>
      <c r="E60" s="3" t="inlineStr">
        <is>
          <t>https://repository.krei.re.kr/bitstream/2018.oak/33106/1/RE49-2-02.pdf</t>
        </is>
      </c>
      <c r="F60" s="3" t="inlineStr">
        <is>
          <t>paper</t>
        </is>
      </c>
      <c r="G60" s="3" t="inlineStr">
        <is>
          <t>Peer-reviewed; Korean 음식서비스 own-price elasticity not significant; seasonal pattern Q1 −8.4% vs Q4</t>
        </is>
      </c>
    </row>
    <row r="61">
      <c r="A61" s="3" t="inlineStr">
        <is>
          <t>S60</t>
        </is>
      </c>
      <c r="B61" s="3" t="inlineStr">
        <is>
          <t>How long diners will wait for a table (Toast survey: 72% ≤ 30 min)</t>
        </is>
      </c>
      <c r="C61" s="3" t="inlineStr">
        <is>
          <t>Chowhound / Tasting Table</t>
        </is>
      </c>
      <c r="D61" s="3" t="inlineStr">
        <is>
          <t>2024</t>
        </is>
      </c>
      <c r="E61" s="3" t="inlineStr">
        <is>
          <t>https://chowhound.com/1550126/how-long-diners-wait-restaurant-table</t>
        </is>
      </c>
      <c r="F61" s="3" t="inlineStr">
        <is>
          <t>news</t>
        </is>
      </c>
      <c r="G61" s="3" t="inlineStr">
        <is>
          <t>US vendor survey, stated preference; sample not disclosed</t>
        </is>
      </c>
    </row>
    <row r="62">
      <c r="A62" s="3" t="inlineStr">
        <is>
          <t>S61</t>
        </is>
      </c>
      <c r="B62" s="3" t="inlineStr">
        <is>
          <t>Worth the wait? How restaurant waiting time influences customer behavior and revenue (JOM 63)</t>
        </is>
      </c>
      <c r="C62" s="3" t="inlineStr">
        <is>
          <t>de Vries, Roy &amp; de Koster</t>
        </is>
      </c>
      <c r="D62" s="3" t="inlineStr">
        <is>
          <t>2018</t>
        </is>
      </c>
      <c r="E62" s="3" t="inlineStr">
        <is>
          <t>https://facultynewsletter.iima.ac.in/pastideas/november2019/Worth-the-wait-How-restaurant-waiting-time-influences-customer-behavior-and-revenue%3Csup%3E1%3Csup%3E.html</t>
        </is>
      </c>
      <c r="F62" s="3" t="inlineStr">
        <is>
          <t>paper</t>
        </is>
      </c>
      <c r="G62" s="3" t="inlineStr">
        <is>
          <t>Peer-reviewed; supports the reneging mechanism, no usable number</t>
        </is>
      </c>
    </row>
    <row r="63">
      <c r="A63" s="3" t="inlineStr">
        <is>
          <t>S62</t>
        </is>
      </c>
      <c r="B63" s="3" t="inlineStr">
        <is>
          <t>식약처 주류 소비·섭취 실태조사 (1회 평균 소주 6.1잔)</t>
        </is>
      </c>
      <c r="C63" s="3" t="inlineStr">
        <is>
          <t>데일리팜 citing 식약처</t>
        </is>
      </c>
      <c r="D63" s="3" t="inlineStr">
        <is>
          <t>2017</t>
        </is>
      </c>
      <c r="E63" s="3" t="inlineStr">
        <is>
          <t>https://dailypharm.com/user/news/91742</t>
        </is>
      </c>
      <c r="F63" s="3" t="inlineStr">
        <is>
          <t>news</t>
        </is>
      </c>
      <c r="G63" s="3" t="inlineStr">
        <is>
          <t>Old survey; per drinker per occasion ≈ 0.85 bottle</t>
        </is>
      </c>
    </row>
    <row r="64">
      <c r="A64" s="3" t="inlineStr">
        <is>
          <t>S63</t>
        </is>
      </c>
      <c r="B64" s="3" t="inlineStr">
        <is>
          <t>2025년 카드수수료 개편 우대수수료율 (시행 2025-02-14)</t>
        </is>
      </c>
      <c r="C64" s="3" t="inlineStr">
        <is>
          <t>금융위원회</t>
        </is>
      </c>
      <c r="D64" s="3" t="inlineStr">
        <is>
          <t>2025</t>
        </is>
      </c>
      <c r="E64" s="3" t="inlineStr">
        <is>
          <t>https://www.fsc.go.kr/edu/news/84133</t>
        </is>
      </c>
      <c r="F64" s="3" t="inlineStr">
        <is>
          <t>report</t>
        </is>
      </c>
      <c r="G64" s="3" t="inlineStr">
        <is>
          <t>Official fee table by annual-sales bracket</t>
        </is>
      </c>
    </row>
    <row r="65">
      <c r="A65" s="3" t="inlineStr">
        <is>
          <t>S64</t>
        </is>
      </c>
      <c r="B65" s="3" t="inlineStr">
        <is>
          <t>2026년 세제개편안, 사장님이 주목해야 할 포인트 (신용카드 매출세액공제)</t>
        </is>
      </c>
      <c r="C65" s="3" t="inlineStr">
        <is>
          <t>KB Think</t>
        </is>
      </c>
      <c r="D65" s="3" t="inlineStr">
        <is>
          <t>2026</t>
        </is>
      </c>
      <c r="E65" s="3" t="inlineStr">
        <is>
          <t>https://kbthink.com/business/tips/ceo-tip/260824.html</t>
        </is>
      </c>
      <c r="F65" s="3" t="inlineStr">
        <is>
          <t>blog</t>
        </is>
      </c>
      <c r="G65" s="3" t="inlineStr">
        <is>
          <t>Bank content page; VAT card credit not modelled</t>
        </is>
      </c>
    </row>
    <row r="66">
      <c r="A66" s="3" t="inlineStr">
        <is>
          <t>S65</t>
        </is>
      </c>
      <c r="B66" s="3" t="inlineStr">
        <is>
          <t>2024년 지급수단 및 모바일금융서비스 이용행태 조사</t>
        </is>
      </c>
      <c r="C66" s="3" t="inlineStr">
        <is>
          <t>뉴시스 citing 한국은행</t>
        </is>
      </c>
      <c r="D66" s="3" t="inlineStr">
        <is>
          <t>2025</t>
        </is>
      </c>
      <c r="E66" s="3" t="inlineStr">
        <is>
          <t>https://www.newsis.com/view/NISX20250325_0003111896</t>
        </is>
      </c>
      <c r="F66" s="3" t="inlineStr">
        <is>
          <t>news</t>
        </is>
      </c>
      <c r="G66" s="3" t="inlineStr">
        <is>
          <t>National, count basis: credit 46.2%, check 16.4%, cash 15.9%</t>
        </is>
      </c>
    </row>
    <row r="67">
      <c r="A67" s="3" t="inlineStr">
        <is>
          <t>S66</t>
        </is>
      </c>
      <c r="B67" s="3" t="inlineStr">
        <is>
          <t>2026년 최저임금 기준, 급여 및 4대보험 계산법</t>
        </is>
      </c>
      <c r="C67" s="3" t="inlineStr">
        <is>
          <t>토스플레이스</t>
        </is>
      </c>
      <c r="D67" s="3" t="inlineStr">
        <is>
          <t>2026</t>
        </is>
      </c>
      <c r="E67" s="3" t="inlineStr">
        <is>
          <t>https://tossplace.com/story/2026_minimum_wage</t>
        </is>
      </c>
      <c r="F67" s="3" t="inlineStr">
        <is>
          <t>blog</t>
        </is>
      </c>
      <c r="G67" s="3" t="inlineStr">
        <is>
          <t>Payroll vendor guide; employer 4대보험 ≈ 11–12%</t>
        </is>
      </c>
    </row>
    <row r="68">
      <c r="A68" s="3" t="inlineStr">
        <is>
          <t>S67</t>
        </is>
      </c>
      <c r="B68" s="3" t="inlineStr">
        <is>
          <t>2026 장기요양 0.9448% / 산재 음식·숙박 8‰ + 출퇴근 0.6‰</t>
        </is>
      </c>
      <c r="C68" s="3" t="inlineStr">
        <is>
          <t>헤럴드경제 (search snippets)</t>
        </is>
      </c>
      <c r="D68" s="3" t="inlineStr">
        <is>
          <t>2025</t>
        </is>
      </c>
      <c r="E68" s="3" t="inlineStr">
        <is>
          <t>https://www.heraldk.com/article/2025123016313362622</t>
        </is>
      </c>
      <c r="F68" s="3" t="inlineStr">
        <is>
          <t>news</t>
        </is>
      </c>
      <c r="G68" s="3" t="inlineStr">
        <is>
          <t>Rates from snippets; pages not opened</t>
        </is>
      </c>
    </row>
    <row r="69">
      <c r="A69" s="3" t="inlineStr">
        <is>
          <t>S68</t>
        </is>
      </c>
      <c r="B69" s="3" t="inlineStr">
        <is>
          <t>돈육 부위별 시세 (냉장 일반 삼겹살 공장출고 ₩/kg, 2023-01~2026-09 주간)</t>
        </is>
      </c>
      <c r="C69" s="3" t="inlineStr">
        <is>
          <t>한국육류유통수출협회 (KMTA)</t>
        </is>
      </c>
      <c r="D69" s="3" t="inlineStr">
        <is>
          <t>2026</t>
        </is>
      </c>
      <c r="E69" s="3" t="inlineStr">
        <is>
          <t>https://www.kmta.or.kr/m/price/pork.php</t>
        </is>
      </c>
      <c r="F69" s="3" t="inlineStr">
        <is>
          <t>report</t>
        </is>
      </c>
      <c r="G69" s="3" t="inlineStr">
        <is>
          <t>Industry association price table; week-2 snapshots; 2026 Jan–Sep mean ₩18,647/kg</t>
        </is>
      </c>
    </row>
    <row r="70">
      <c r="A70" s="3" t="inlineStr">
        <is>
          <t>S69</t>
        </is>
      </c>
      <c r="B70" s="3" t="inlineStr">
        <is>
          <t>소·돼지값 들썩…더 커진 '외식물가 공포' (소매 삼겹 ₩2,559/100g; 서울 외식 200g ₩21,218)</t>
        </is>
      </c>
      <c r="C70" s="3" t="inlineStr">
        <is>
          <t>헤럴드경제</t>
        </is>
      </c>
      <c r="D70" s="3" t="inlineStr">
        <is>
          <t>2026</t>
        </is>
      </c>
      <c r="E70" s="3" t="inlineStr">
        <is>
          <t>https://www.heraldk.com/article/2026042018372851890</t>
        </is>
      </c>
      <c r="F70" s="3" t="inlineStr">
        <is>
          <t>news</t>
        </is>
      </c>
      <c r="G70" s="3" t="inlineStr">
        <is>
          <t>Cites 축산물품질평가원 / KAMIS / 참가격; retail ceiling for meat cost</t>
        </is>
      </c>
    </row>
    <row r="71">
      <c r="A71" s="3" t="inlineStr">
        <is>
          <t>S70</t>
        </is>
      </c>
      <c r="B71" s="3" t="inlineStr">
        <is>
          <t>주요 축산물 유통비용 비중 45.8% (돼지고기 43.7%, 2017)</t>
        </is>
      </c>
      <c r="C71" s="3" t="inlineStr">
        <is>
          <t>데일리벳 citing 축산물품질평가원</t>
        </is>
      </c>
      <c r="D71" s="3" t="inlineStr">
        <is>
          <t>2018</t>
        </is>
      </c>
      <c r="E71" s="3" t="inlineStr">
        <is>
          <t>https://www.dailyvet.co.kr/?p=93337</t>
        </is>
      </c>
      <c r="F71" s="3" t="inlineStr">
        <is>
          <t>news</t>
        </is>
      </c>
      <c r="G71" s="3" t="inlineStr">
        <is>
          <t>Old; explains retail vs wholesale gap</t>
        </is>
      </c>
    </row>
    <row r="72">
      <c r="A72" s="3" t="inlineStr">
        <is>
          <t>S71</t>
        </is>
      </c>
      <c r="B72" s="3" t="inlineStr">
        <is>
          <t>명륜진사갈비 이용시간 (평일 120분 / 주말 100분)</t>
        </is>
      </c>
      <c r="C72" s="3" t="inlineStr">
        <is>
          <t>mom-mom.net listing</t>
        </is>
      </c>
      <c r="D72" s="3" t="inlineStr"/>
      <c r="E72" s="3" t="inlineStr">
        <is>
          <t>https://mom-mom.net/travel/places/68ac35f0ca795b20d1869bd8</t>
        </is>
      </c>
      <c r="F72" s="3" t="inlineStr">
        <is>
          <t>blog</t>
        </is>
      </c>
      <c r="G72" s="3" t="inlineStr">
        <is>
          <t>Single branch listing; revealed upper bound on dwell</t>
        </is>
      </c>
    </row>
    <row r="73">
      <c r="A73" s="3" t="inlineStr">
        <is>
          <t>S72</t>
        </is>
      </c>
      <c r="B73" s="3" t="inlineStr">
        <is>
          <t>The Impact of Restaurant Table Characteristics on Meal Duration and Spending (CHRAQ 45(4))</t>
        </is>
      </c>
      <c r="C73" s="3" t="inlineStr">
        <is>
          <t>Kimes &amp; Robson (Cornell)</t>
        </is>
      </c>
      <c r="D73" s="3" t="inlineStr">
        <is>
          <t>2004</t>
        </is>
      </c>
      <c r="E73" s="3" t="inlineStr">
        <is>
          <t>https://ecommons.cornell.edu/server/api/core/bitstreams/e4a944d8-bdad-4220-9281-df8203ba1e8c/content</t>
        </is>
      </c>
      <c r="F73" s="3" t="inlineStr">
        <is>
          <t>paper</t>
        </is>
      </c>
      <c r="G73" s="3" t="inlineStr">
        <is>
          <t>Peer-reviewed; US casual dining; dwell CV 0.37; party mix 58.4% pairs</t>
        </is>
      </c>
    </row>
    <row r="74">
      <c r="A74" s="3" t="inlineStr">
        <is>
          <t>S73</t>
        </is>
      </c>
      <c r="B74" s="3" t="inlineStr">
        <is>
          <t>How long should dinner take? Measuring expected meal duration</t>
        </is>
      </c>
      <c r="C74" s="3" t="inlineStr">
        <is>
          <t>Kimes (Cornell)</t>
        </is>
      </c>
      <c r="D74" s="3" t="inlineStr"/>
      <c r="E74" s="3" t="inlineStr">
        <is>
          <t>https://ecommons.cornell.edu/server/api/core/bitstreams/019c3aa9-4744-4709-9d77-d18dd8abfa30/content</t>
        </is>
      </c>
      <c r="F74" s="3" t="inlineStr">
        <is>
          <t>paper</t>
        </is>
      </c>
      <c r="G74" s="3" t="inlineStr">
        <is>
          <t>Student sample (n=134); expectation not behaviour</t>
        </is>
      </c>
    </row>
    <row r="75">
      <c r="A75" s="3" t="inlineStr">
        <is>
          <t>S74</t>
        </is>
      </c>
      <c r="B75" s="3" t="inlineStr">
        <is>
          <t>[녹색세상] 삼겹살 1인분은 왜 180그램?</t>
        </is>
      </c>
      <c r="C75" s="3" t="inlineStr">
        <is>
          <t>경향신문 (김연식)</t>
        </is>
      </c>
      <c r="D75" s="3" t="inlineStr">
        <is>
          <t>2022</t>
        </is>
      </c>
      <c r="E75" s="3" t="inlineStr">
        <is>
          <t>https://www.khan.co.kr/article/202209300300015</t>
        </is>
      </c>
      <c r="F75" s="3" t="inlineStr">
        <is>
          <t>news</t>
        </is>
      </c>
      <c r="G75" s="3" t="inlineStr">
        <is>
          <t>Opinion column; anecdote for the portions upper tail</t>
        </is>
      </c>
    </row>
    <row r="76">
      <c r="A76" s="3" t="inlineStr">
        <is>
          <t>S75</t>
        </is>
      </c>
      <c r="B76" s="3" t="inlineStr">
        <is>
          <t>2024년 10월 기후특성 (10월 전국 강수일수 평년 5.9일; 평년값 1991~2020)</t>
        </is>
      </c>
      <c r="C76" s="3" t="inlineStr">
        <is>
          <t>기상청</t>
        </is>
      </c>
      <c r="D76" s="3" t="inlineStr">
        <is>
          <t>2024</t>
        </is>
      </c>
      <c r="E76" s="3" t="inlineStr">
        <is>
          <t>https://www.kma.go.kr/download_02/ellinonewsletter_2024_10.pdf</t>
        </is>
      </c>
      <c r="F76" s="3" t="inlineStr">
        <is>
          <t>report</t>
        </is>
      </c>
      <c r="G76" s="3" t="inlineStr">
        <is>
          <t>Official; nationwide normal. The Seoul station (108) normal was not reached, so the national value stands in</t>
        </is>
      </c>
    </row>
    <row r="77">
      <c r="A77" s="3" t="inlineStr">
        <is>
          <t>D0930</t>
        </is>
      </c>
      <c r="B77" s="3" t="inlineStr">
        <is>
          <t>Team 고기 decisions 2026-09-30 (ARCHITECTURE-PROPOSAL §9)</t>
        </is>
      </c>
      <c r="C77" s="3" t="inlineStr">
        <is>
          <t>Team 고기 (internal)</t>
        </is>
      </c>
      <c r="D77" s="3" t="inlineStr">
        <is>
          <t>2026</t>
        </is>
      </c>
      <c r="E77" s="3" t="inlineStr"/>
      <c r="F77" s="3" t="inlineStr">
        <is>
          <t>internal</t>
        </is>
      </c>
      <c r="G77" s="3" t="inlineStr">
        <is>
          <t>Scope definitions only (composite 미도입 independent hero; shocks = main profit drivers); NOT evidence for any number</t>
        </is>
      </c>
    </row>
  </sheetData>
  <autoFilter ref="A1:G77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4" customWidth="1" min="4" max="4"/>
    <col width="14" customWidth="1" min="5" max="5"/>
    <col width="10" customWidth="1" min="6" max="6"/>
    <col width="46" customWidth="1" min="7" max="7"/>
  </cols>
  <sheetData>
    <row r="1">
      <c r="A1" s="8" t="inlineStr">
        <is>
          <t>check_id</t>
        </is>
      </c>
      <c r="B1" s="8" t="inlineStr">
        <is>
          <t>항목</t>
        </is>
      </c>
      <c r="C1" s="8" t="inlineStr">
        <is>
          <t>값</t>
        </is>
      </c>
      <c r="D1" s="8" t="inlineStr">
        <is>
          <t>하한</t>
        </is>
      </c>
      <c r="E1" s="8" t="inlineStr">
        <is>
          <t>상한</t>
        </is>
      </c>
      <c r="F1" s="8" t="inlineStr">
        <is>
          <t>결과</t>
        </is>
      </c>
      <c r="G1" s="8" t="inlineStr">
        <is>
          <t>설명</t>
        </is>
      </c>
    </row>
    <row r="2">
      <c r="A2" s="10" t="inlineStr">
        <is>
          <t>C01</t>
        </is>
      </c>
      <c r="B2" s="3" t="inlineStr">
        <is>
          <t>월 매출이 prior ₩2,000–5,000만 안</t>
        </is>
      </c>
      <c r="C2" s="19">
        <f>'P&amp;L'!$B$19</f>
        <v/>
      </c>
      <c r="D2" s="19">
        <f>b_bm04_low</f>
        <v/>
      </c>
      <c r="E2" s="19">
        <f>b_bm04_high</f>
        <v/>
      </c>
      <c r="F2" s="44">
        <f>IF(AND(C2&gt;=D2,C2&lt;=E2),"PASS","FAIL")</f>
        <v/>
      </c>
      <c r="G2" s="3" t="inlineStr">
        <is>
          <t>P&amp;L 매출 vs Benchmarks BM04</t>
        </is>
      </c>
    </row>
    <row r="3">
      <c r="A3" s="10" t="inlineStr">
        <is>
          <t>C02</t>
        </is>
      </c>
      <c r="B3" s="3" t="inlineStr">
        <is>
          <t>월 매출이 앵커 ±40% 안 (편차)</t>
        </is>
      </c>
      <c r="C3" s="45">
        <f>'P&amp;L'!$B$19/b_bm03-1</f>
        <v/>
      </c>
      <c r="D3" s="45" t="n">
        <v>-0.4</v>
      </c>
      <c r="E3" s="45" t="n">
        <v>0.4</v>
      </c>
      <c r="F3" s="44">
        <f>IF(AND(C3&gt;=D3,C3&lt;=E3),"PASS","FAIL")</f>
        <v/>
      </c>
      <c r="G3" s="3" t="inlineStr">
        <is>
          <t>앵커 = 대학로 한식 점포당 월매출 (BM03)</t>
        </is>
      </c>
    </row>
    <row r="4">
      <c r="A4" s="10" t="inlineStr">
        <is>
          <t>C03</t>
        </is>
      </c>
      <c r="B4" s="3" t="inlineStr">
        <is>
          <t>식재료비 비중 vs KREI (pp)</t>
        </is>
      </c>
      <c r="C4" s="46">
        <f>('P&amp;L'!$D$29-b_bm13)*100</f>
        <v/>
      </c>
      <c r="D4" s="46" t="n"/>
      <c r="E4" s="46" t="n"/>
      <c r="F4" s="44" t="inlineStr">
        <is>
          <t>INFO</t>
        </is>
      </c>
      <c r="G4" s="3" t="inlineStr">
        <is>
          <t>INFO: 고기 원가를 KMTA 시세로 바꾼 뒤 아래에서 쌓아 올린 값. KREI 2018 전국 비중은 목표가 아님. 반찬·식사 원가는 출처 없음</t>
        </is>
      </c>
    </row>
    <row r="5">
      <c r="A5" s="10" t="inlineStr">
        <is>
          <t>C04</t>
        </is>
      </c>
      <c r="B5" s="3" t="inlineStr">
        <is>
          <t>인건비 비중 vs KREI (pp)</t>
        </is>
      </c>
      <c r="C5" s="46">
        <f>('P&amp;L'!$D$33-b_bm15)*100</f>
        <v/>
      </c>
      <c r="D5" s="46" t="n">
        <v>-5</v>
      </c>
      <c r="E5" s="46" t="n">
        <v>5</v>
      </c>
      <c r="F5" s="44">
        <f>IF(AND(C5&gt;=D5,C5&lt;=E5),"PASS","FAIL")</f>
        <v/>
      </c>
      <c r="G5" s="3" t="inlineStr">
        <is>
          <t>±5pp; 대표자 귀속 인건비 포함</t>
        </is>
      </c>
    </row>
    <row r="6">
      <c r="A6" s="10" t="inlineStr">
        <is>
          <t>C05</t>
        </is>
      </c>
      <c r="B6" s="3" t="inlineStr">
        <is>
          <t>임차료 비중 vs KREI (pp)</t>
        </is>
      </c>
      <c r="C6" s="46">
        <f>('P&amp;L'!$D$34-b_bm17)*100</f>
        <v/>
      </c>
      <c r="D6" s="46" t="n"/>
      <c r="E6" s="46" t="n"/>
      <c r="F6" s="44" t="inlineStr">
        <is>
          <t>INFO</t>
        </is>
      </c>
      <c r="G6" s="3" t="inlineStr">
        <is>
          <t>INFO: 혜화동 1층 임대료가 전국의 약 3배(BM45)라 전국 비용 비중이 맞지 않음. 오류가 아니라 이 상권의 특징</t>
        </is>
      </c>
    </row>
    <row r="7">
      <c r="A7" s="10" t="inlineStr">
        <is>
          <t>C06</t>
        </is>
      </c>
      <c r="B7" s="3" t="inlineStr">
        <is>
          <t>관리비+수수료 비중 vs KREI 잔여 (pp)</t>
        </is>
      </c>
      <c r="C7" s="46">
        <f>('P&amp;L'!$D$39-b_bm19)*100</f>
        <v/>
      </c>
      <c r="D7" s="46" t="n">
        <v>-5</v>
      </c>
      <c r="E7" s="46" t="n">
        <v>5</v>
      </c>
      <c r="F7" s="44">
        <f>IF(AND(C7&gt;=D7,C7&lt;=E7),"PASS","FAIL")</f>
        <v/>
      </c>
      <c r="G7" s="3" t="inlineStr">
        <is>
          <t>±5pp; KREI 잔여 = 1 - 식재료 - 인건비 - 임차</t>
        </is>
      </c>
    </row>
    <row r="8">
      <c r="A8" s="10" t="inlineStr">
        <is>
          <t>C07</t>
        </is>
      </c>
      <c r="B8" s="3" t="inlineStr">
        <is>
          <t>영업이익률 vs KREI (pp)</t>
        </is>
      </c>
      <c r="C8" s="46">
        <f>('P&amp;L'!$D$42-b_bm11)*100</f>
        <v/>
      </c>
      <c r="D8" s="46" t="n">
        <v>-5</v>
      </c>
      <c r="E8" s="46" t="n">
        <v>5</v>
      </c>
      <c r="F8" s="44">
        <f>IF(AND(C8&gt;=D8,C8&lt;=E8),"PASS","FAIL")</f>
        <v/>
      </c>
      <c r="G8" s="3" t="inlineStr">
        <is>
          <t>±5pp (추가 검사)</t>
        </is>
      </c>
    </row>
    <row r="9">
      <c r="A9" s="10" t="inlineStr">
        <is>
          <t>C08</t>
        </is>
      </c>
      <c r="B9" s="3" t="inlineStr">
        <is>
          <t>주류 매출 비중 (참고 17–25%)</t>
        </is>
      </c>
      <c r="C9" s="21">
        <f>'P&amp;L'!$D$21</f>
        <v/>
      </c>
      <c r="D9" s="21" t="n"/>
      <c r="E9" s="21" t="n"/>
      <c r="F9" s="44" t="inlineStr">
        <is>
          <t>INFO</t>
        </is>
      </c>
      <c r="G9" s="3" t="inlineStr">
        <is>
          <t>INFO: 17–25%는 미검증 블로그 범위. 식약처 음주량(S62)을 적용한 값이 더 낮음</t>
        </is>
      </c>
    </row>
    <row r="10">
      <c r="A10" s="10" t="inlineStr">
        <is>
          <t>C09</t>
        </is>
      </c>
      <c r="B10" s="3" t="inlineStr">
        <is>
          <t>HeroStore confidence 빈칸 수</t>
        </is>
      </c>
      <c r="C10" s="47">
        <f>SUMPRODUCT(--(LEN(HeroStore!$J$2:$J$83)=0))</f>
        <v/>
      </c>
      <c r="D10" s="47" t="n">
        <v>0</v>
      </c>
      <c r="E10" s="47" t="n">
        <v>0</v>
      </c>
      <c r="F10" s="44">
        <f>IF(AND(C10&gt;=D10,C10&lt;=E10),"PASS","FAIL")</f>
        <v/>
      </c>
      <c r="G10" s="3" t="inlineStr">
        <is>
          <t>모든 행에 H/M/L</t>
        </is>
      </c>
    </row>
    <row r="11">
      <c r="A11" s="10" t="inlineStr">
        <is>
          <t>C10</t>
        </is>
      </c>
      <c r="B11" s="3" t="inlineStr">
        <is>
          <t>source_id 없는데 confidence ≠ L 인 행 수</t>
        </is>
      </c>
      <c r="C11" s="47">
        <f>SUMPRODUCT((LEN(HeroStore!$I$2:$I$83)=0)*(HeroStore!$J$2:$J$83&lt;&gt;"L"))</f>
        <v/>
      </c>
      <c r="D11" s="47" t="n">
        <v>0</v>
      </c>
      <c r="E11" s="47" t="n">
        <v>0</v>
      </c>
      <c r="F11" s="44">
        <f>IF(AND(C11&gt;=D11,C11&lt;=E11),"PASS","FAIL")</f>
        <v/>
      </c>
      <c r="G11" s="3" t="inlineStr">
        <is>
          <t>출처가 없으면 반드시 L</t>
        </is>
      </c>
    </row>
    <row r="12">
      <c r="A12" s="10" t="inlineStr">
        <is>
          <t>C11</t>
        </is>
      </c>
      <c r="B12" s="3" t="inlineStr">
        <is>
          <t>reasoning_chain 빈칸 수</t>
        </is>
      </c>
      <c r="C12" s="47">
        <f>SUMPRODUCT(--(LEN(HeroStore!$H$2:$H$83)=0))</f>
        <v/>
      </c>
      <c r="D12" s="47" t="n">
        <v>0</v>
      </c>
      <c r="E12" s="47" t="n">
        <v>0</v>
      </c>
      <c r="F12" s="44">
        <f>IF(AND(C12&gt;=D12,C12&lt;=E12),"PASS","FAIL")</f>
        <v/>
      </c>
      <c r="G12" s="3" t="inlineStr">
        <is>
          <t>모든 행에 계산 근거 한 줄</t>
        </is>
      </c>
    </row>
    <row r="13">
      <c r="A13" s="10" t="inlineStr">
        <is>
          <t>C12</t>
        </is>
      </c>
      <c r="B13" s="3" t="inlineStr">
        <is>
          <t>source_id 없는 행 수 (L 가정값)</t>
        </is>
      </c>
      <c r="C13" s="47">
        <f>SUMPRODUCT(--(LEN(HeroStore!$I$2:$I$83)=0))</f>
        <v/>
      </c>
      <c r="D13" s="47" t="n"/>
      <c r="E13" s="47" t="n"/>
      <c r="F13" s="44" t="inlineStr">
        <is>
          <t>INFO</t>
        </is>
      </c>
      <c r="G13" s="3" t="inlineStr">
        <is>
          <t>INFO: 출처 확보 대상 목록</t>
        </is>
      </c>
    </row>
    <row r="14">
      <c r="A14" s="10" t="inlineStr">
        <is>
          <t>C13</t>
        </is>
      </c>
      <c r="B14" s="3" t="inlineStr">
        <is>
          <t>reviewed_by 빈칸 수 (검토 대기)</t>
        </is>
      </c>
      <c r="C14" s="47">
        <f>SUMPRODUCT(--(LEN(HeroStore!$L$2:$L$83)=0))</f>
        <v/>
      </c>
      <c r="D14" s="47" t="n"/>
      <c r="E14" s="47" t="n"/>
      <c r="F14" s="44" t="inlineStr">
        <is>
          <t>INFO</t>
        </is>
      </c>
      <c r="G14" s="3" t="inlineStr">
        <is>
          <t>INFO: 0이 될 때까지 사람이 검토</t>
        </is>
      </c>
    </row>
    <row r="15">
      <c r="A15" s="10" t="inlineStr">
        <is>
          <t>C14</t>
        </is>
      </c>
      <c r="B15" s="3" t="inlineStr">
        <is>
          <t>값이 비어 있는 행 수 (파이프라인·인터뷰 대기)</t>
        </is>
      </c>
      <c r="C15" s="47">
        <f>SUMPRODUCT(--(LEN(HeroStore!$D$2:$D$83)=0))</f>
        <v/>
      </c>
      <c r="D15" s="47" t="n"/>
      <c r="E15" s="47" t="n"/>
      <c r="F15" s="44" t="inlineStr">
        <is>
          <t>INFO</t>
        </is>
      </c>
      <c r="G15" s="3" t="inlineStr">
        <is>
          <t>INFO</t>
        </is>
      </c>
    </row>
    <row r="17">
      <c r="B17" s="48" t="inlineStr">
        <is>
          <t>전체 결과</t>
        </is>
      </c>
      <c r="F17" s="48">
        <f>IF(COUNTIF(F2:F15,"FAIL")=0,"ALL PASS","FAIL 있음")</f>
        <v/>
      </c>
    </row>
  </sheetData>
  <conditionalFormatting sqref="F2:F17">
    <cfRule type="cellIs" priority="1" operator="equal" dxfId="0">
      <formula>"PASS"</formula>
    </cfRule>
    <cfRule type="cellIs" priority="2" operator="equal" dxfId="0">
      <formula>"ALL PASS"</formula>
    </cfRule>
    <cfRule type="cellIs" priority="3" operator="equal" dxfId="1">
      <formula>"FAIL"</formula>
    </cfRule>
    <cfRule type="cellIs" priority="4" operator="equal" dxfId="1">
      <formula>"FAIL 있음"</formula>
    </cfRule>
  </conditionalFormatting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40" customWidth="1" min="8" max="8"/>
  </cols>
  <sheetData>
    <row r="1">
      <c r="A1" s="8" t="inlineStr">
        <is>
          <t>criterion_id</t>
        </is>
      </c>
      <c r="B1" s="8" t="inlineStr">
        <is>
          <t>field</t>
        </is>
      </c>
      <c r="C1" s="8" t="inlineStr">
        <is>
          <t>old</t>
        </is>
      </c>
      <c r="D1" s="8" t="inlineStr">
        <is>
          <t>new</t>
        </is>
      </c>
      <c r="E1" s="8" t="inlineStr">
        <is>
          <t>source_id</t>
        </is>
      </c>
      <c r="F1" s="8" t="inlineStr">
        <is>
          <t>reviewed_by</t>
        </is>
      </c>
      <c r="G1" s="8" t="inlineStr">
        <is>
          <t>date</t>
        </is>
      </c>
      <c r="H1" s="8" t="inlineStr">
        <is>
          <t>patch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2026-10-01T02:10:56Z</dcterms:created>
  <dcterms:modified xsi:type="dcterms:W3CDTF">2026-10-01T02:10:56Z</dcterms:modified>
</cp:coreProperties>
</file>